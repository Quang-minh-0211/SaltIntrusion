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ce279885593761/NAM 2025/MAN 2025/SO LIEU MAN/"/>
    </mc:Choice>
  </mc:AlternateContent>
  <xr:revisionPtr revIDLastSave="1" documentId="8_{583A0358-359E-4F51-8233-460F2B8C518D}" xr6:coauthVersionLast="47" xr6:coauthVersionMax="47" xr10:uidLastSave="{68BA754E-7471-471D-9024-C116F7CBB792}"/>
  <bookViews>
    <workbookView xWindow="-28920" yWindow="-1425" windowWidth="29040" windowHeight="15840" activeTab="1" xr2:uid="{BC352E5B-0C38-4BBB-B331-9233A7B53E37}"/>
  </bookViews>
  <sheets>
    <sheet name="Muc nuoc" sheetId="1" r:id="rId1"/>
    <sheet name="Mặn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4" i="2" l="1"/>
  <c r="O184" i="2"/>
  <c r="N184" i="2"/>
  <c r="P183" i="2"/>
  <c r="O183" i="2"/>
  <c r="N183" i="2"/>
  <c r="P182" i="2"/>
  <c r="O182" i="2"/>
  <c r="N182" i="2"/>
  <c r="P181" i="2"/>
  <c r="O181" i="2"/>
  <c r="N181" i="2"/>
  <c r="P180" i="2"/>
  <c r="O180" i="2"/>
  <c r="N180" i="2"/>
  <c r="P179" i="2"/>
  <c r="O179" i="2"/>
  <c r="N179" i="2"/>
  <c r="P178" i="2"/>
  <c r="O178" i="2"/>
  <c r="N178" i="2"/>
  <c r="P177" i="2"/>
  <c r="O177" i="2"/>
  <c r="N177" i="2"/>
  <c r="P176" i="2"/>
  <c r="O176" i="2"/>
  <c r="N176" i="2"/>
  <c r="P175" i="2"/>
  <c r="O175" i="2"/>
  <c r="N175" i="2"/>
  <c r="P174" i="2"/>
  <c r="O174" i="2"/>
  <c r="N174" i="2"/>
  <c r="P173" i="2"/>
  <c r="O173" i="2"/>
  <c r="N173" i="2"/>
  <c r="P172" i="2"/>
  <c r="O172" i="2"/>
  <c r="N172" i="2"/>
  <c r="P171" i="2"/>
  <c r="O171" i="2"/>
  <c r="N171" i="2"/>
  <c r="P170" i="2"/>
  <c r="O170" i="2"/>
  <c r="N170" i="2"/>
  <c r="P169" i="2"/>
  <c r="O169" i="2"/>
  <c r="N169" i="2"/>
  <c r="P168" i="2"/>
  <c r="O168" i="2"/>
  <c r="N168" i="2"/>
  <c r="P167" i="2"/>
  <c r="O167" i="2"/>
  <c r="N167" i="2"/>
  <c r="P166" i="2"/>
  <c r="O166" i="2"/>
  <c r="N166" i="2"/>
  <c r="P165" i="2"/>
  <c r="O165" i="2"/>
  <c r="N165" i="2"/>
  <c r="P164" i="2"/>
  <c r="O164" i="2"/>
  <c r="N164" i="2"/>
  <c r="P163" i="2"/>
  <c r="O163" i="2"/>
  <c r="N163" i="2"/>
  <c r="P162" i="2"/>
  <c r="O162" i="2"/>
  <c r="N162" i="2"/>
  <c r="P161" i="2"/>
  <c r="O161" i="2"/>
  <c r="N161" i="2"/>
  <c r="P160" i="2"/>
  <c r="O160" i="2"/>
  <c r="N160" i="2"/>
  <c r="P159" i="2"/>
  <c r="O159" i="2"/>
  <c r="N159" i="2"/>
  <c r="P158" i="2"/>
  <c r="O158" i="2"/>
  <c r="N158" i="2"/>
  <c r="P157" i="2"/>
  <c r="O157" i="2"/>
  <c r="N157" i="2"/>
  <c r="P156" i="2"/>
  <c r="O156" i="2"/>
  <c r="N156" i="2"/>
  <c r="P155" i="2"/>
  <c r="O155" i="2"/>
  <c r="N155" i="2"/>
  <c r="P154" i="2"/>
  <c r="O154" i="2"/>
  <c r="N154" i="2"/>
  <c r="P153" i="2"/>
  <c r="O153" i="2"/>
  <c r="N153" i="2"/>
  <c r="P152" i="2"/>
  <c r="O152" i="2"/>
  <c r="N152" i="2"/>
  <c r="P151" i="2"/>
  <c r="O151" i="2"/>
  <c r="N151" i="2"/>
  <c r="P150" i="2"/>
  <c r="O150" i="2"/>
  <c r="N150" i="2"/>
  <c r="P149" i="2"/>
  <c r="O149" i="2"/>
  <c r="N149" i="2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3" i="2"/>
  <c r="O143" i="2"/>
  <c r="N143" i="2"/>
  <c r="P142" i="2"/>
  <c r="O142" i="2"/>
  <c r="N142" i="2"/>
  <c r="P141" i="2"/>
  <c r="O141" i="2"/>
  <c r="N141" i="2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R62" i="2" s="1"/>
  <c r="N62" i="2"/>
  <c r="P61" i="2"/>
  <c r="O61" i="2"/>
  <c r="R61" i="2" s="1"/>
  <c r="N61" i="2"/>
  <c r="P60" i="2"/>
  <c r="O60" i="2"/>
  <c r="R60" i="2" s="1"/>
  <c r="N60" i="2"/>
  <c r="P59" i="2"/>
  <c r="O59" i="2"/>
  <c r="R59" i="2" s="1"/>
  <c r="N59" i="2"/>
  <c r="P58" i="2"/>
  <c r="O58" i="2"/>
  <c r="R58" i="2" s="1"/>
  <c r="N58" i="2"/>
  <c r="P57" i="2"/>
  <c r="O57" i="2"/>
  <c r="R57" i="2" s="1"/>
  <c r="N57" i="2"/>
  <c r="P56" i="2"/>
  <c r="O56" i="2"/>
  <c r="R56" i="2" s="1"/>
  <c r="N56" i="2"/>
  <c r="P55" i="2"/>
  <c r="O55" i="2"/>
  <c r="R55" i="2" s="1"/>
  <c r="N55" i="2"/>
  <c r="P54" i="2"/>
  <c r="O54" i="2"/>
  <c r="R54" i="2" s="1"/>
  <c r="N54" i="2"/>
  <c r="P53" i="2"/>
  <c r="O53" i="2"/>
  <c r="R53" i="2" s="1"/>
  <c r="N53" i="2"/>
  <c r="P52" i="2"/>
  <c r="O52" i="2"/>
  <c r="R52" i="2" s="1"/>
  <c r="N52" i="2"/>
  <c r="P51" i="2"/>
  <c r="O51" i="2"/>
  <c r="R51" i="2" s="1"/>
  <c r="N51" i="2"/>
  <c r="P50" i="2"/>
  <c r="O50" i="2"/>
  <c r="R50" i="2" s="1"/>
  <c r="N50" i="2"/>
  <c r="P49" i="2"/>
  <c r="O49" i="2"/>
  <c r="R49" i="2" s="1"/>
  <c r="N49" i="2"/>
  <c r="P48" i="2"/>
  <c r="O48" i="2"/>
  <c r="R48" i="2" s="1"/>
  <c r="N48" i="2"/>
  <c r="P47" i="2"/>
  <c r="O47" i="2"/>
  <c r="R47" i="2" s="1"/>
  <c r="N47" i="2"/>
  <c r="P46" i="2"/>
  <c r="O46" i="2"/>
  <c r="R46" i="2" s="1"/>
  <c r="N46" i="2"/>
  <c r="P45" i="2"/>
  <c r="O45" i="2"/>
  <c r="R45" i="2" s="1"/>
  <c r="N45" i="2"/>
  <c r="P44" i="2"/>
  <c r="O44" i="2"/>
  <c r="R44" i="2" s="1"/>
  <c r="N44" i="2"/>
  <c r="P43" i="2"/>
  <c r="O43" i="2"/>
  <c r="R43" i="2" s="1"/>
  <c r="N43" i="2"/>
  <c r="P42" i="2"/>
  <c r="O42" i="2"/>
  <c r="R42" i="2" s="1"/>
  <c r="N42" i="2"/>
  <c r="P41" i="2"/>
  <c r="O41" i="2"/>
  <c r="R41" i="2" s="1"/>
  <c r="N41" i="2"/>
  <c r="P40" i="2"/>
  <c r="O40" i="2"/>
  <c r="R40" i="2" s="1"/>
  <c r="N40" i="2"/>
  <c r="P39" i="2"/>
  <c r="O39" i="2"/>
  <c r="R39" i="2" s="1"/>
  <c r="N39" i="2"/>
  <c r="P38" i="2"/>
  <c r="O38" i="2"/>
  <c r="R38" i="2" s="1"/>
  <c r="N38" i="2"/>
  <c r="P37" i="2"/>
  <c r="O37" i="2"/>
  <c r="R37" i="2" s="1"/>
  <c r="N37" i="2"/>
  <c r="P36" i="2"/>
  <c r="O36" i="2"/>
  <c r="R36" i="2" s="1"/>
  <c r="N36" i="2"/>
  <c r="P35" i="2"/>
  <c r="O35" i="2"/>
  <c r="R35" i="2" s="1"/>
  <c r="N35" i="2"/>
  <c r="P34" i="2"/>
  <c r="O34" i="2"/>
  <c r="R34" i="2" s="1"/>
  <c r="N34" i="2"/>
  <c r="P33" i="2"/>
  <c r="O33" i="2"/>
  <c r="R33" i="2" s="1"/>
  <c r="N33" i="2"/>
  <c r="P32" i="2"/>
  <c r="O32" i="2"/>
  <c r="R32" i="2" s="1"/>
  <c r="N32" i="2"/>
  <c r="P31" i="2"/>
  <c r="O31" i="2"/>
  <c r="R31" i="2" s="1"/>
  <c r="N31" i="2"/>
  <c r="P30" i="2"/>
  <c r="O30" i="2"/>
  <c r="R30" i="2" s="1"/>
  <c r="N30" i="2"/>
  <c r="P29" i="2"/>
  <c r="O29" i="2"/>
  <c r="R29" i="2" s="1"/>
  <c r="N29" i="2"/>
  <c r="P28" i="2"/>
  <c r="O28" i="2"/>
  <c r="R28" i="2" s="1"/>
  <c r="N28" i="2"/>
  <c r="P27" i="2"/>
  <c r="O27" i="2"/>
  <c r="R27" i="2" s="1"/>
  <c r="N27" i="2"/>
  <c r="P26" i="2"/>
  <c r="O26" i="2"/>
  <c r="R26" i="2" s="1"/>
  <c r="N26" i="2"/>
  <c r="P25" i="2"/>
  <c r="O25" i="2"/>
  <c r="R25" i="2" s="1"/>
  <c r="N25" i="2"/>
  <c r="P24" i="2"/>
  <c r="O24" i="2"/>
  <c r="R24" i="2" s="1"/>
  <c r="N24" i="2"/>
  <c r="P23" i="2"/>
  <c r="O23" i="2"/>
  <c r="R23" i="2" s="1"/>
  <c r="N23" i="2"/>
  <c r="P22" i="2"/>
  <c r="O22" i="2"/>
  <c r="R22" i="2" s="1"/>
  <c r="N22" i="2"/>
  <c r="P21" i="2"/>
  <c r="O21" i="2"/>
  <c r="R21" i="2" s="1"/>
  <c r="N21" i="2"/>
  <c r="P20" i="2"/>
  <c r="O20" i="2"/>
  <c r="R20" i="2" s="1"/>
  <c r="N20" i="2"/>
  <c r="P19" i="2"/>
  <c r="O19" i="2"/>
  <c r="R19" i="2" s="1"/>
  <c r="N19" i="2"/>
  <c r="P18" i="2"/>
  <c r="O18" i="2"/>
  <c r="R18" i="2" s="1"/>
  <c r="N18" i="2"/>
  <c r="P17" i="2"/>
  <c r="O17" i="2"/>
  <c r="R17" i="2" s="1"/>
  <c r="N17" i="2"/>
  <c r="P16" i="2"/>
  <c r="O16" i="2"/>
  <c r="R16" i="2" s="1"/>
  <c r="N16" i="2"/>
  <c r="P15" i="2"/>
  <c r="O15" i="2"/>
  <c r="R15" i="2" s="1"/>
  <c r="N15" i="2"/>
  <c r="P14" i="2"/>
  <c r="O14" i="2"/>
  <c r="R14" i="2" s="1"/>
  <c r="N14" i="2"/>
  <c r="P13" i="2"/>
  <c r="O13" i="2"/>
  <c r="R13" i="2" s="1"/>
  <c r="N13" i="2"/>
  <c r="R12" i="2"/>
  <c r="P12" i="2"/>
  <c r="O12" i="2"/>
  <c r="N12" i="2"/>
  <c r="P11" i="2"/>
  <c r="O11" i="2"/>
  <c r="R11" i="2" s="1"/>
  <c r="N11" i="2"/>
  <c r="P10" i="2"/>
  <c r="O10" i="2"/>
  <c r="R10" i="2" s="1"/>
  <c r="N10" i="2"/>
  <c r="P9" i="2"/>
  <c r="O9" i="2"/>
  <c r="R9" i="2" s="1"/>
  <c r="N9" i="2"/>
  <c r="P8" i="2"/>
  <c r="O8" i="2"/>
  <c r="R8" i="2" s="1"/>
  <c r="N8" i="2"/>
  <c r="P7" i="2"/>
  <c r="O7" i="2"/>
  <c r="R7" i="2" s="1"/>
  <c r="N7" i="2"/>
  <c r="P6" i="2"/>
  <c r="O6" i="2"/>
  <c r="R6" i="2" s="1"/>
  <c r="N6" i="2"/>
  <c r="P5" i="2"/>
  <c r="O5" i="2"/>
  <c r="R5" i="2" s="1"/>
  <c r="N5" i="2"/>
  <c r="P4" i="2"/>
  <c r="O4" i="2"/>
  <c r="R4" i="2" s="1"/>
  <c r="N4" i="2"/>
  <c r="AA378" i="1"/>
  <c r="Z378" i="1"/>
  <c r="AA377" i="1"/>
  <c r="Z377" i="1"/>
  <c r="AB376" i="1"/>
  <c r="AA376" i="1"/>
  <c r="Z376" i="1"/>
  <c r="AB375" i="1"/>
  <c r="AA375" i="1"/>
  <c r="Z375" i="1"/>
  <c r="AB374" i="1"/>
  <c r="AA374" i="1"/>
  <c r="Z374" i="1"/>
  <c r="AB373" i="1"/>
  <c r="AA373" i="1"/>
  <c r="Z373" i="1"/>
  <c r="AB372" i="1"/>
  <c r="AA372" i="1"/>
  <c r="Z372" i="1"/>
  <c r="AB371" i="1"/>
  <c r="AA371" i="1"/>
  <c r="Z371" i="1"/>
  <c r="AB370" i="1"/>
  <c r="AA370" i="1"/>
  <c r="Z370" i="1"/>
  <c r="AB369" i="1"/>
  <c r="AA369" i="1"/>
  <c r="Z369" i="1"/>
  <c r="AB368" i="1"/>
  <c r="AA368" i="1"/>
  <c r="Z368" i="1"/>
  <c r="AB367" i="1"/>
  <c r="AA367" i="1"/>
  <c r="Z367" i="1"/>
  <c r="AB366" i="1"/>
  <c r="AA366" i="1"/>
  <c r="Z366" i="1"/>
  <c r="AB365" i="1"/>
  <c r="AA365" i="1"/>
  <c r="Z365" i="1"/>
  <c r="AB364" i="1"/>
  <c r="AA364" i="1"/>
  <c r="Z364" i="1"/>
  <c r="AB363" i="1"/>
  <c r="AA363" i="1"/>
  <c r="Z363" i="1"/>
  <c r="AB362" i="1"/>
  <c r="AA362" i="1"/>
  <c r="Z362" i="1"/>
  <c r="AB361" i="1"/>
  <c r="AA361" i="1"/>
  <c r="Z361" i="1"/>
  <c r="AB360" i="1"/>
  <c r="AA360" i="1"/>
  <c r="Z360" i="1"/>
  <c r="AB359" i="1"/>
  <c r="AA359" i="1"/>
  <c r="Z359" i="1"/>
  <c r="AB358" i="1"/>
  <c r="AA358" i="1"/>
  <c r="Z358" i="1"/>
  <c r="AB357" i="1"/>
  <c r="AA357" i="1"/>
  <c r="Z357" i="1"/>
  <c r="AB356" i="1"/>
  <c r="AA356" i="1"/>
  <c r="Z356" i="1"/>
  <c r="AB355" i="1"/>
  <c r="AA355" i="1"/>
  <c r="Z355" i="1"/>
  <c r="AB354" i="1"/>
  <c r="AA354" i="1"/>
  <c r="Z354" i="1"/>
  <c r="AB353" i="1"/>
  <c r="AA353" i="1"/>
  <c r="Z353" i="1"/>
  <c r="AB352" i="1"/>
  <c r="AA352" i="1"/>
  <c r="Z352" i="1"/>
  <c r="AB351" i="1"/>
  <c r="AA351" i="1"/>
  <c r="Z351" i="1"/>
  <c r="AB350" i="1"/>
  <c r="AA350" i="1"/>
  <c r="Z350" i="1"/>
  <c r="AB349" i="1"/>
  <c r="AA349" i="1"/>
  <c r="Z349" i="1"/>
  <c r="AB348" i="1"/>
  <c r="AA348" i="1"/>
  <c r="Z348" i="1"/>
  <c r="AB347" i="1"/>
  <c r="AB346" i="1"/>
  <c r="AA346" i="1"/>
  <c r="Z346" i="1"/>
  <c r="AB345" i="1"/>
  <c r="AA345" i="1"/>
  <c r="Z345" i="1"/>
  <c r="AB344" i="1"/>
  <c r="AA344" i="1"/>
  <c r="Z344" i="1"/>
  <c r="AB343" i="1"/>
  <c r="AA343" i="1"/>
  <c r="Z343" i="1"/>
  <c r="AB342" i="1"/>
  <c r="AA342" i="1"/>
  <c r="Z342" i="1"/>
  <c r="AB341" i="1"/>
  <c r="AA341" i="1"/>
  <c r="Z341" i="1"/>
  <c r="AB340" i="1"/>
  <c r="AA340" i="1"/>
  <c r="Z340" i="1"/>
  <c r="AB339" i="1"/>
  <c r="AA339" i="1"/>
  <c r="Z339" i="1"/>
  <c r="AB338" i="1"/>
  <c r="AA338" i="1"/>
  <c r="Z338" i="1"/>
  <c r="AB337" i="1"/>
  <c r="AA337" i="1"/>
  <c r="Z337" i="1"/>
  <c r="AB336" i="1"/>
  <c r="AA336" i="1"/>
  <c r="Z336" i="1"/>
  <c r="AB335" i="1"/>
  <c r="AA335" i="1"/>
  <c r="Z335" i="1"/>
  <c r="AB334" i="1"/>
  <c r="AA334" i="1"/>
  <c r="Z334" i="1"/>
  <c r="AB333" i="1"/>
  <c r="AA333" i="1"/>
  <c r="Z333" i="1"/>
  <c r="AB332" i="1"/>
  <c r="AA332" i="1"/>
  <c r="Z332" i="1"/>
  <c r="AB331" i="1"/>
  <c r="AA331" i="1"/>
  <c r="Z331" i="1"/>
  <c r="AB330" i="1"/>
  <c r="AA330" i="1"/>
  <c r="Z330" i="1"/>
  <c r="AB329" i="1"/>
  <c r="AA329" i="1"/>
  <c r="Z329" i="1"/>
  <c r="AB328" i="1"/>
  <c r="AA328" i="1"/>
  <c r="Z328" i="1"/>
  <c r="AB327" i="1"/>
  <c r="AA327" i="1"/>
  <c r="Z327" i="1"/>
  <c r="AB326" i="1"/>
  <c r="AA326" i="1"/>
  <c r="Z326" i="1"/>
  <c r="AB325" i="1"/>
  <c r="AA325" i="1"/>
  <c r="Z325" i="1"/>
  <c r="AB324" i="1"/>
  <c r="AA324" i="1"/>
  <c r="Z324" i="1"/>
  <c r="AB323" i="1"/>
  <c r="AA323" i="1"/>
  <c r="Z323" i="1"/>
  <c r="AB322" i="1"/>
  <c r="AA322" i="1"/>
  <c r="Z322" i="1"/>
  <c r="AB321" i="1"/>
  <c r="AA321" i="1"/>
  <c r="Z321" i="1"/>
  <c r="AB320" i="1"/>
  <c r="AA320" i="1"/>
  <c r="Z320" i="1"/>
  <c r="AB319" i="1"/>
  <c r="AA319" i="1"/>
  <c r="Z319" i="1"/>
  <c r="AB318" i="1"/>
  <c r="AA318" i="1"/>
  <c r="Z318" i="1"/>
  <c r="AB317" i="1"/>
  <c r="AA317" i="1"/>
  <c r="Z317" i="1"/>
  <c r="AB316" i="1"/>
  <c r="AA316" i="1"/>
  <c r="Z316" i="1"/>
  <c r="AB315" i="1"/>
  <c r="AA315" i="1"/>
  <c r="Z315" i="1"/>
  <c r="AB314" i="1"/>
  <c r="AA314" i="1"/>
  <c r="Z314" i="1"/>
  <c r="AB313" i="1"/>
  <c r="AA313" i="1"/>
  <c r="Z313" i="1"/>
  <c r="AB312" i="1"/>
  <c r="AA312" i="1"/>
  <c r="Z312" i="1"/>
  <c r="AB311" i="1"/>
  <c r="AA311" i="1"/>
  <c r="Z311" i="1"/>
  <c r="AB310" i="1"/>
  <c r="AA310" i="1"/>
  <c r="Z310" i="1"/>
  <c r="AB309" i="1"/>
  <c r="AA309" i="1"/>
  <c r="Z309" i="1"/>
  <c r="AB308" i="1"/>
  <c r="AA308" i="1"/>
  <c r="Z308" i="1"/>
  <c r="AB307" i="1"/>
  <c r="AA307" i="1"/>
  <c r="Z307" i="1"/>
  <c r="AB306" i="1"/>
  <c r="AA306" i="1"/>
  <c r="Z306" i="1"/>
  <c r="AB305" i="1"/>
  <c r="AA305" i="1"/>
  <c r="Z305" i="1"/>
  <c r="AB304" i="1"/>
  <c r="AA304" i="1"/>
  <c r="Z304" i="1"/>
  <c r="AB303" i="1"/>
  <c r="AA303" i="1"/>
  <c r="Z303" i="1"/>
  <c r="AB302" i="1"/>
  <c r="AA302" i="1"/>
  <c r="Z302" i="1"/>
  <c r="AB301" i="1"/>
  <c r="AA301" i="1"/>
  <c r="Z301" i="1"/>
  <c r="AB300" i="1"/>
  <c r="AA300" i="1"/>
  <c r="Z300" i="1"/>
  <c r="AB299" i="1"/>
  <c r="AA299" i="1"/>
  <c r="Z299" i="1"/>
  <c r="AB298" i="1"/>
  <c r="AA298" i="1"/>
  <c r="Z298" i="1"/>
  <c r="AB297" i="1"/>
  <c r="AA297" i="1"/>
  <c r="Z297" i="1"/>
  <c r="AB296" i="1"/>
  <c r="AA296" i="1"/>
  <c r="Z296" i="1"/>
  <c r="AB295" i="1"/>
  <c r="AA295" i="1"/>
  <c r="Z295" i="1"/>
  <c r="AB294" i="1"/>
  <c r="AA294" i="1"/>
  <c r="Z294" i="1"/>
  <c r="AB293" i="1"/>
  <c r="AA293" i="1"/>
  <c r="Z293" i="1"/>
  <c r="AB292" i="1"/>
  <c r="AA292" i="1"/>
  <c r="Z292" i="1"/>
  <c r="AB291" i="1"/>
  <c r="AA291" i="1"/>
  <c r="Z291" i="1"/>
  <c r="AB290" i="1"/>
  <c r="AA290" i="1"/>
  <c r="Z290" i="1"/>
  <c r="AB289" i="1"/>
  <c r="AA289" i="1"/>
  <c r="Z289" i="1"/>
  <c r="AB288" i="1"/>
  <c r="AA288" i="1"/>
  <c r="Z288" i="1"/>
  <c r="AB287" i="1"/>
  <c r="AA287" i="1"/>
  <c r="Z287" i="1"/>
  <c r="A287" i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B286" i="1"/>
  <c r="AA286" i="1"/>
  <c r="Z286" i="1"/>
  <c r="AB285" i="1"/>
  <c r="AB284" i="1"/>
  <c r="AA284" i="1"/>
  <c r="Z284" i="1"/>
  <c r="AB283" i="1"/>
  <c r="AA283" i="1"/>
  <c r="Z283" i="1"/>
  <c r="AB282" i="1"/>
  <c r="AA282" i="1"/>
  <c r="Z282" i="1"/>
  <c r="AB281" i="1"/>
  <c r="AA281" i="1"/>
  <c r="Z281" i="1"/>
  <c r="AB280" i="1"/>
  <c r="AA280" i="1"/>
  <c r="Z280" i="1"/>
  <c r="AB279" i="1"/>
  <c r="AA279" i="1"/>
  <c r="Z279" i="1"/>
  <c r="AB278" i="1"/>
  <c r="AA278" i="1"/>
  <c r="Z278" i="1"/>
  <c r="AB277" i="1"/>
  <c r="AA277" i="1"/>
  <c r="Z277" i="1"/>
  <c r="AB276" i="1"/>
  <c r="AA276" i="1"/>
  <c r="Z276" i="1"/>
  <c r="AB275" i="1"/>
  <c r="AA275" i="1"/>
  <c r="Z275" i="1"/>
  <c r="AB274" i="1"/>
  <c r="AA274" i="1"/>
  <c r="Z274" i="1"/>
  <c r="AB273" i="1"/>
  <c r="AA273" i="1"/>
  <c r="Z273" i="1"/>
  <c r="AB272" i="1"/>
  <c r="AA272" i="1"/>
  <c r="Z272" i="1"/>
  <c r="AB271" i="1"/>
  <c r="AA271" i="1"/>
  <c r="Z271" i="1"/>
  <c r="AB270" i="1"/>
  <c r="AA270" i="1"/>
  <c r="Z270" i="1"/>
  <c r="AB269" i="1"/>
  <c r="AA269" i="1"/>
  <c r="Z269" i="1"/>
  <c r="AB268" i="1"/>
  <c r="AA268" i="1"/>
  <c r="Z268" i="1"/>
  <c r="AB267" i="1"/>
  <c r="AA267" i="1"/>
  <c r="Z267" i="1"/>
  <c r="AB266" i="1"/>
  <c r="AA266" i="1"/>
  <c r="Z266" i="1"/>
  <c r="AB265" i="1"/>
  <c r="AA265" i="1"/>
  <c r="Z265" i="1"/>
  <c r="AB264" i="1"/>
  <c r="AA264" i="1"/>
  <c r="Z264" i="1"/>
  <c r="AB263" i="1"/>
  <c r="AA263" i="1"/>
  <c r="Z263" i="1"/>
  <c r="AB262" i="1"/>
  <c r="AA262" i="1"/>
  <c r="Z262" i="1"/>
  <c r="AB261" i="1"/>
  <c r="AA261" i="1"/>
  <c r="Z261" i="1"/>
  <c r="AB260" i="1"/>
  <c r="AA260" i="1"/>
  <c r="Z260" i="1"/>
  <c r="AB259" i="1"/>
  <c r="AA259" i="1"/>
  <c r="Z259" i="1"/>
  <c r="AB258" i="1"/>
  <c r="AA258" i="1"/>
  <c r="Z258" i="1"/>
  <c r="AB257" i="1"/>
  <c r="AA257" i="1"/>
  <c r="Z257" i="1"/>
  <c r="AB256" i="1"/>
  <c r="AA256" i="1"/>
  <c r="Z256" i="1"/>
  <c r="AB255" i="1"/>
  <c r="AA255" i="1"/>
  <c r="Z255" i="1"/>
  <c r="AB254" i="1"/>
  <c r="AA254" i="1"/>
  <c r="Z254" i="1"/>
  <c r="AB253" i="1"/>
  <c r="AA253" i="1"/>
  <c r="Z253" i="1"/>
  <c r="AB252" i="1"/>
  <c r="AA252" i="1"/>
  <c r="Z252" i="1"/>
  <c r="AB251" i="1"/>
  <c r="AA251" i="1"/>
  <c r="Z251" i="1"/>
  <c r="AB250" i="1"/>
  <c r="AA250" i="1"/>
  <c r="Z250" i="1"/>
  <c r="AB249" i="1"/>
  <c r="AA249" i="1"/>
  <c r="Z249" i="1"/>
  <c r="AB248" i="1"/>
  <c r="AA248" i="1"/>
  <c r="Z248" i="1"/>
  <c r="AB247" i="1"/>
  <c r="AA247" i="1"/>
  <c r="Z247" i="1"/>
  <c r="AB246" i="1"/>
  <c r="AA246" i="1"/>
  <c r="Z246" i="1"/>
  <c r="AB245" i="1"/>
  <c r="AA245" i="1"/>
  <c r="Z245" i="1"/>
  <c r="AB244" i="1"/>
  <c r="AA244" i="1"/>
  <c r="Z244" i="1"/>
  <c r="AB243" i="1"/>
  <c r="AA243" i="1"/>
  <c r="Z243" i="1"/>
  <c r="AB242" i="1"/>
  <c r="AA242" i="1"/>
  <c r="Z242" i="1"/>
  <c r="AB241" i="1"/>
  <c r="AA241" i="1"/>
  <c r="Z241" i="1"/>
  <c r="AB240" i="1"/>
  <c r="AA240" i="1"/>
  <c r="Z240" i="1"/>
  <c r="AB239" i="1"/>
  <c r="AA239" i="1"/>
  <c r="Z239" i="1"/>
  <c r="AB238" i="1"/>
  <c r="AA238" i="1"/>
  <c r="Z238" i="1"/>
  <c r="AB237" i="1"/>
  <c r="AA237" i="1"/>
  <c r="Z237" i="1"/>
  <c r="AB236" i="1"/>
  <c r="AA236" i="1"/>
  <c r="Z236" i="1"/>
  <c r="AB235" i="1"/>
  <c r="AA235" i="1"/>
  <c r="Z235" i="1"/>
  <c r="AB234" i="1"/>
  <c r="AA234" i="1"/>
  <c r="Z234" i="1"/>
  <c r="AB233" i="1"/>
  <c r="AA233" i="1"/>
  <c r="Z233" i="1"/>
  <c r="AB232" i="1"/>
  <c r="AA232" i="1"/>
  <c r="Z232" i="1"/>
  <c r="AB231" i="1"/>
  <c r="AA231" i="1"/>
  <c r="Z231" i="1"/>
  <c r="AB230" i="1"/>
  <c r="AA230" i="1"/>
  <c r="Z230" i="1"/>
  <c r="AB229" i="1"/>
  <c r="AA229" i="1"/>
  <c r="Z229" i="1"/>
  <c r="AB228" i="1"/>
  <c r="AA228" i="1"/>
  <c r="Z228" i="1"/>
  <c r="AB227" i="1"/>
  <c r="AA227" i="1"/>
  <c r="Z227" i="1"/>
  <c r="AB226" i="1"/>
  <c r="AA226" i="1"/>
  <c r="Z226" i="1"/>
  <c r="AB225" i="1"/>
  <c r="AA225" i="1"/>
  <c r="Z225" i="1"/>
  <c r="AB224" i="1"/>
  <c r="AA224" i="1"/>
  <c r="Z224" i="1"/>
  <c r="AB223" i="1"/>
  <c r="AA223" i="1"/>
  <c r="Z223" i="1"/>
  <c r="AB222" i="1"/>
  <c r="AA222" i="1"/>
  <c r="Z222" i="1"/>
  <c r="AB221" i="1"/>
  <c r="AA221" i="1"/>
  <c r="Z221" i="1"/>
  <c r="AB220" i="1"/>
  <c r="AA220" i="1"/>
  <c r="Z220" i="1"/>
  <c r="AB219" i="1"/>
  <c r="AA219" i="1"/>
  <c r="Z219" i="1"/>
  <c r="AB218" i="1"/>
  <c r="AA218" i="1"/>
  <c r="Z218" i="1"/>
  <c r="AB217" i="1"/>
  <c r="AA217" i="1"/>
  <c r="Z217" i="1"/>
  <c r="AB216" i="1"/>
  <c r="AA216" i="1"/>
  <c r="Z216" i="1"/>
  <c r="AB215" i="1"/>
  <c r="AA215" i="1"/>
  <c r="Z215" i="1"/>
  <c r="AB214" i="1"/>
  <c r="AA214" i="1"/>
  <c r="Z214" i="1"/>
  <c r="AB213" i="1"/>
  <c r="AA213" i="1"/>
  <c r="Z213" i="1"/>
  <c r="AB212" i="1"/>
  <c r="AA212" i="1"/>
  <c r="Z212" i="1"/>
  <c r="AB211" i="1"/>
  <c r="AA211" i="1"/>
  <c r="Z211" i="1"/>
  <c r="AB210" i="1"/>
  <c r="AA210" i="1"/>
  <c r="Z210" i="1"/>
  <c r="AB209" i="1"/>
  <c r="AA209" i="1"/>
  <c r="Z209" i="1"/>
  <c r="AB208" i="1"/>
  <c r="AA208" i="1"/>
  <c r="Z208" i="1"/>
  <c r="AB207" i="1"/>
  <c r="AA207" i="1"/>
  <c r="Z207" i="1"/>
  <c r="AB206" i="1"/>
  <c r="AA206" i="1"/>
  <c r="Z206" i="1"/>
  <c r="AB205" i="1"/>
  <c r="AA205" i="1"/>
  <c r="Z205" i="1"/>
  <c r="AB204" i="1"/>
  <c r="AA204" i="1"/>
  <c r="Z204" i="1"/>
  <c r="AB203" i="1"/>
  <c r="AA203" i="1"/>
  <c r="Z203" i="1"/>
  <c r="AB202" i="1"/>
  <c r="AA202" i="1"/>
  <c r="Z202" i="1"/>
  <c r="AB201" i="1"/>
  <c r="AA201" i="1"/>
  <c r="Z201" i="1"/>
  <c r="AB200" i="1"/>
  <c r="AA200" i="1"/>
  <c r="Z200" i="1"/>
  <c r="AB199" i="1"/>
  <c r="AA199" i="1"/>
  <c r="Z199" i="1"/>
  <c r="AB198" i="1"/>
  <c r="AA198" i="1"/>
  <c r="Z198" i="1"/>
  <c r="AB197" i="1"/>
  <c r="AA197" i="1"/>
  <c r="Z197" i="1"/>
  <c r="AB196" i="1"/>
  <c r="AA196" i="1"/>
  <c r="Z196" i="1"/>
  <c r="AB195" i="1"/>
  <c r="AA195" i="1"/>
  <c r="Z195" i="1"/>
  <c r="AB194" i="1"/>
  <c r="AA194" i="1"/>
  <c r="Z194" i="1"/>
  <c r="AB193" i="1"/>
  <c r="AA193" i="1"/>
  <c r="Z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A99" i="1"/>
  <c r="Z99" i="1"/>
  <c r="AA98" i="1"/>
  <c r="Z98" i="1"/>
  <c r="AA97" i="1"/>
  <c r="Z97" i="1"/>
  <c r="AA96" i="1"/>
  <c r="Z96" i="1"/>
  <c r="AA95" i="1"/>
  <c r="Z95" i="1"/>
  <c r="AA94" i="1"/>
  <c r="Z94" i="1"/>
  <c r="AA93" i="1"/>
  <c r="Z93" i="1"/>
  <c r="AA92" i="1"/>
  <c r="Z92" i="1"/>
  <c r="AA91" i="1"/>
  <c r="Z91" i="1"/>
  <c r="AA90" i="1"/>
  <c r="Z90" i="1"/>
  <c r="AA89" i="1"/>
  <c r="Z89" i="1"/>
  <c r="AA88" i="1"/>
  <c r="Z88" i="1"/>
  <c r="AA87" i="1"/>
  <c r="Z87" i="1"/>
  <c r="AA86" i="1"/>
  <c r="Z86" i="1"/>
  <c r="AA85" i="1"/>
  <c r="Z85" i="1"/>
  <c r="AA84" i="1"/>
  <c r="Z84" i="1"/>
  <c r="AA83" i="1"/>
  <c r="Z83" i="1"/>
  <c r="AA82" i="1"/>
  <c r="Z82" i="1"/>
  <c r="AA81" i="1"/>
  <c r="Z81" i="1"/>
  <c r="AA80" i="1"/>
  <c r="Z80" i="1"/>
  <c r="AA79" i="1"/>
  <c r="Z79" i="1"/>
  <c r="AA78" i="1"/>
  <c r="Z78" i="1"/>
  <c r="AA77" i="1"/>
  <c r="Z77" i="1"/>
  <c r="AA76" i="1"/>
  <c r="Z76" i="1"/>
  <c r="AA75" i="1"/>
  <c r="Z75" i="1"/>
  <c r="AA74" i="1"/>
  <c r="Z74" i="1"/>
  <c r="AA73" i="1"/>
  <c r="Z73" i="1"/>
  <c r="AA72" i="1"/>
  <c r="Z72" i="1"/>
  <c r="AA71" i="1"/>
  <c r="Z71" i="1"/>
  <c r="AA70" i="1"/>
  <c r="Z70" i="1"/>
  <c r="A70" i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A69" i="1"/>
  <c r="Z69" i="1"/>
  <c r="AA65" i="1"/>
  <c r="Z65" i="1"/>
  <c r="AA64" i="1"/>
  <c r="Z64" i="1"/>
  <c r="AA63" i="1"/>
  <c r="Z63" i="1"/>
  <c r="AA62" i="1"/>
  <c r="Z62" i="1"/>
  <c r="AA61" i="1"/>
  <c r="Z61" i="1"/>
  <c r="AA60" i="1"/>
  <c r="Z60" i="1"/>
  <c r="AA59" i="1"/>
  <c r="Z59" i="1"/>
  <c r="AA58" i="1"/>
  <c r="Z58" i="1"/>
  <c r="AA57" i="1"/>
  <c r="Z57" i="1"/>
  <c r="AA56" i="1"/>
  <c r="Z56" i="1"/>
  <c r="AA55" i="1"/>
  <c r="Z55" i="1"/>
  <c r="AA54" i="1"/>
  <c r="Z54" i="1"/>
  <c r="AA53" i="1"/>
  <c r="Z53" i="1"/>
  <c r="AA52" i="1"/>
  <c r="Z52" i="1"/>
  <c r="AA51" i="1"/>
  <c r="Z51" i="1"/>
  <c r="AA50" i="1"/>
  <c r="Z50" i="1"/>
  <c r="AA49" i="1"/>
  <c r="Z49" i="1"/>
  <c r="AA48" i="1"/>
  <c r="Z48" i="1"/>
  <c r="AA47" i="1"/>
  <c r="Z47" i="1"/>
  <c r="AA46" i="1"/>
  <c r="Z46" i="1"/>
  <c r="AA45" i="1"/>
  <c r="Z45" i="1"/>
  <c r="AA44" i="1"/>
  <c r="Z44" i="1"/>
  <c r="AA43" i="1"/>
  <c r="Z43" i="1"/>
  <c r="AA42" i="1"/>
  <c r="Z42" i="1"/>
  <c r="AA41" i="1"/>
  <c r="Z41" i="1"/>
  <c r="AA40" i="1"/>
  <c r="Z40" i="1"/>
  <c r="AA39" i="1"/>
  <c r="Z39" i="1"/>
  <c r="AA38" i="1"/>
  <c r="Z38" i="1"/>
  <c r="AA37" i="1"/>
  <c r="Z37" i="1"/>
  <c r="AA36" i="1"/>
  <c r="Z36" i="1"/>
  <c r="AA35" i="1"/>
  <c r="Z35" i="1"/>
  <c r="AA34" i="1"/>
  <c r="Z34" i="1"/>
  <c r="AA33" i="1"/>
  <c r="Z33" i="1"/>
  <c r="AA32" i="1"/>
  <c r="Z32" i="1"/>
  <c r="AA31" i="1"/>
  <c r="Z31" i="1"/>
  <c r="AA30" i="1"/>
  <c r="Z30" i="1"/>
  <c r="AA29" i="1"/>
  <c r="Z29" i="1"/>
  <c r="AA28" i="1"/>
  <c r="Z28" i="1"/>
  <c r="AA27" i="1"/>
  <c r="Z27" i="1"/>
  <c r="AA26" i="1"/>
  <c r="Z26" i="1"/>
  <c r="AA25" i="1"/>
  <c r="Z25" i="1"/>
  <c r="AA24" i="1"/>
  <c r="Z24" i="1"/>
  <c r="AA23" i="1"/>
  <c r="Z23" i="1"/>
  <c r="AA22" i="1"/>
  <c r="Z22" i="1"/>
  <c r="AA21" i="1"/>
  <c r="Z21" i="1"/>
  <c r="AA20" i="1"/>
  <c r="Z20" i="1"/>
  <c r="AA19" i="1"/>
  <c r="Z19" i="1"/>
  <c r="AA18" i="1"/>
  <c r="Z18" i="1"/>
  <c r="AA17" i="1"/>
  <c r="Z17" i="1"/>
  <c r="AA16" i="1"/>
  <c r="Z16" i="1"/>
  <c r="AA15" i="1"/>
  <c r="Z15" i="1"/>
  <c r="AA14" i="1"/>
  <c r="Z14" i="1"/>
  <c r="AA13" i="1"/>
  <c r="Z13" i="1"/>
  <c r="AA12" i="1"/>
  <c r="Z12" i="1"/>
  <c r="AA11" i="1"/>
  <c r="Z11" i="1"/>
  <c r="AA10" i="1"/>
  <c r="Z10" i="1"/>
  <c r="AA9" i="1"/>
  <c r="Z9" i="1"/>
  <c r="AA8" i="1"/>
  <c r="Z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A7" i="1"/>
  <c r="Z7" i="1"/>
</calcChain>
</file>

<file path=xl/sharedStrings.xml><?xml version="1.0" encoding="utf-8"?>
<sst xmlns="http://schemas.openxmlformats.org/spreadsheetml/2006/main" count="28" uniqueCount="28">
  <si>
    <t>ĐÀI KHÍ TƯỢNG THỦY VĂN KHU VỰC NAM BỘ</t>
  </si>
  <si>
    <t>(SOUTHERN REGIONAL HYDROMETEOROLOGICAL CENTER)</t>
  </si>
  <si>
    <t xml:space="preserve">08 Mac Đỉnh Chi, Quận 1, TP. HCM </t>
  </si>
  <si>
    <t>BẢNG GHI MỰC NƯỚC  GiỜ (HOURLY WATER LEVEL)</t>
  </si>
  <si>
    <t>Trạm (Station): Trà Vinh</t>
  </si>
  <si>
    <t>Sông (River): Cổ Chiên</t>
  </si>
  <si>
    <t>Năm (Year): 2025</t>
  </si>
  <si>
    <t>Đơn vị (Unit): cm</t>
  </si>
  <si>
    <t>Hệ cao độ (Datum): Nhà Nước (State)</t>
  </si>
  <si>
    <r>
      <t xml:space="preserve">Ngày/Giờ </t>
    </r>
    <r>
      <rPr>
        <sz val="10"/>
        <rFont val="Arial"/>
        <family val="2"/>
      </rPr>
      <t>(Date/Hour)</t>
    </r>
  </si>
  <si>
    <r>
      <t>Tổng</t>
    </r>
    <r>
      <rPr>
        <sz val="10"/>
        <rFont val="Arial"/>
        <family val="2"/>
      </rPr>
      <t xml:space="preserve"> (Total)</t>
    </r>
  </si>
  <si>
    <r>
      <t>Trung bình</t>
    </r>
    <r>
      <rPr>
        <sz val="9"/>
        <rFont val="Arial"/>
        <family val="2"/>
      </rPr>
      <t xml:space="preserve"> (Average)</t>
    </r>
  </si>
  <si>
    <t>TRÀ VINH</t>
  </si>
  <si>
    <t xml:space="preserve">Năm: </t>
  </si>
  <si>
    <t>Sông:  Cổ Chiên</t>
  </si>
  <si>
    <t>Khoảng cách từ biển (km): 35</t>
  </si>
  <si>
    <t>2025</t>
  </si>
  <si>
    <t>Ngày\Giờ</t>
  </si>
  <si>
    <t>TB</t>
  </si>
  <si>
    <t>Max (‰)</t>
  </si>
  <si>
    <t>Min (‰)</t>
  </si>
  <si>
    <t>cùng kỳ năm trước</t>
  </si>
  <si>
    <t>So với cùng kỳ</t>
  </si>
  <si>
    <t xml:space="preserve">TB tháng </t>
  </si>
  <si>
    <t xml:space="preserve">Max tháng </t>
  </si>
  <si>
    <t>Min tháng</t>
  </si>
  <si>
    <t>ÂL</t>
  </si>
  <si>
    <t>4.8.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</si>
</sst>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3"/>
      <name val="Times New Roman"/>
      <family val="1"/>
    </font>
    <font>
      <b/>
      <sz val="14"/>
      <color rgb="FF0000FF"/>
      <name val="Times New Roman"/>
      <family val="1"/>
    </font>
    <font>
      <b/>
      <sz val="14"/>
      <color rgb="FFFFFF00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4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quotePrefix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4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9" xfId="0" applyNumberFormat="1" applyFont="1" applyBorder="1"/>
    <xf numFmtId="1" fontId="1" fillId="0" borderId="10" xfId="0" applyNumberFormat="1" applyFont="1" applyBorder="1"/>
    <xf numFmtId="1" fontId="1" fillId="0" borderId="11" xfId="0" applyNumberFormat="1" applyFont="1" applyBorder="1"/>
    <xf numFmtId="1" fontId="1" fillId="0" borderId="12" xfId="0" applyNumberFormat="1" applyFont="1" applyBorder="1"/>
    <xf numFmtId="1" fontId="1" fillId="0" borderId="13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1" fontId="1" fillId="0" borderId="15" xfId="0" applyNumberFormat="1" applyFont="1" applyBorder="1"/>
    <xf numFmtId="1" fontId="1" fillId="0" borderId="16" xfId="0" applyNumberFormat="1" applyFont="1" applyBorder="1"/>
    <xf numFmtId="1" fontId="1" fillId="0" borderId="17" xfId="0" applyNumberFormat="1" applyFont="1" applyBorder="1"/>
    <xf numFmtId="1" fontId="1" fillId="0" borderId="18" xfId="0" applyNumberFormat="1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1" fontId="1" fillId="0" borderId="21" xfId="0" applyNumberFormat="1" applyFont="1" applyBorder="1"/>
    <xf numFmtId="1" fontId="1" fillId="0" borderId="22" xfId="0" applyNumberFormat="1" applyFont="1" applyBorder="1"/>
    <xf numFmtId="1" fontId="1" fillId="0" borderId="23" xfId="0" applyNumberFormat="1" applyFont="1" applyBorder="1"/>
    <xf numFmtId="1" fontId="1" fillId="0" borderId="24" xfId="0" applyNumberFormat="1" applyFont="1" applyBorder="1"/>
    <xf numFmtId="1" fontId="1" fillId="0" borderId="25" xfId="0" applyNumberFormat="1" applyFont="1" applyBorder="1"/>
    <xf numFmtId="1" fontId="1" fillId="0" borderId="26" xfId="0" applyNumberFormat="1" applyFont="1" applyBorder="1"/>
    <xf numFmtId="1" fontId="1" fillId="0" borderId="27" xfId="0" applyNumberFormat="1" applyFont="1" applyBorder="1"/>
    <xf numFmtId="1" fontId="1" fillId="0" borderId="28" xfId="0" applyNumberFormat="1" applyFont="1" applyBorder="1"/>
    <xf numFmtId="1" fontId="1" fillId="0" borderId="29" xfId="0" applyNumberFormat="1" applyFont="1" applyBorder="1"/>
    <xf numFmtId="1" fontId="1" fillId="0" borderId="30" xfId="0" applyNumberFormat="1" applyFont="1" applyBorder="1"/>
    <xf numFmtId="14" fontId="0" fillId="0" borderId="6" xfId="0" applyNumberFormat="1" applyBorder="1" applyAlignment="1">
      <alignment horizontal="center"/>
    </xf>
    <xf numFmtId="1" fontId="0" fillId="0" borderId="31" xfId="0" applyNumberFormat="1" applyBorder="1"/>
    <xf numFmtId="1" fontId="0" fillId="0" borderId="10" xfId="0" applyNumberFormat="1" applyBorder="1"/>
    <xf numFmtId="1" fontId="0" fillId="0" borderId="32" xfId="0" applyNumberFormat="1" applyBorder="1"/>
    <xf numFmtId="1" fontId="0" fillId="0" borderId="7" xfId="0" applyNumberFormat="1" applyBorder="1" applyAlignment="1">
      <alignment horizontal="center"/>
    </xf>
    <xf numFmtId="1" fontId="0" fillId="0" borderId="33" xfId="0" applyNumberFormat="1" applyBorder="1"/>
    <xf numFmtId="1" fontId="0" fillId="0" borderId="25" xfId="0" applyNumberFormat="1" applyBorder="1"/>
    <xf numFmtId="1" fontId="0" fillId="0" borderId="34" xfId="0" applyNumberFormat="1" applyBorder="1"/>
    <xf numFmtId="1" fontId="0" fillId="0" borderId="18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9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>
      <alignment horizontal="center"/>
    </xf>
    <xf numFmtId="0" fontId="9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10" fillId="0" borderId="0" xfId="0" applyFont="1" applyAlignment="1" applyProtection="1">
      <alignment vertical="center"/>
      <protection locked="0"/>
    </xf>
    <xf numFmtId="3" fontId="11" fillId="0" borderId="0" xfId="0" applyNumberFormat="1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2" fillId="0" borderId="39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43" xfId="0" applyFont="1" applyBorder="1" applyAlignment="1" applyProtection="1">
      <alignment horizontal="center" vertical="center"/>
      <protection locked="0"/>
    </xf>
    <xf numFmtId="0" fontId="13" fillId="6" borderId="41" xfId="0" applyFont="1" applyFill="1" applyBorder="1" applyAlignment="1" applyProtection="1">
      <alignment horizontal="center" vertical="center"/>
      <protection locked="0"/>
    </xf>
    <xf numFmtId="0" fontId="13" fillId="6" borderId="42" xfId="0" applyFont="1" applyFill="1" applyBorder="1" applyAlignment="1" applyProtection="1">
      <alignment horizontal="center" vertical="center"/>
      <protection locked="0"/>
    </xf>
    <xf numFmtId="0" fontId="4" fillId="6" borderId="44" xfId="0" applyFont="1" applyFill="1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 applyProtection="1">
      <alignment horizontal="center" vertical="center"/>
      <protection locked="0"/>
    </xf>
    <xf numFmtId="0" fontId="4" fillId="7" borderId="45" xfId="0" applyFont="1" applyFill="1" applyBorder="1" applyAlignment="1" applyProtection="1">
      <alignment horizontal="center" vertical="center"/>
      <protection locked="0"/>
    </xf>
    <xf numFmtId="0" fontId="4" fillId="7" borderId="0" xfId="0" applyFont="1" applyFill="1" applyAlignment="1" applyProtection="1">
      <alignment horizontal="center" vertical="center"/>
      <protection locked="0"/>
    </xf>
    <xf numFmtId="14" fontId="0" fillId="0" borderId="46" xfId="0" applyNumberFormat="1" applyBorder="1"/>
    <xf numFmtId="164" fontId="14" fillId="0" borderId="47" xfId="0" applyNumberFormat="1" applyFont="1" applyBorder="1" applyAlignment="1" applyProtection="1">
      <alignment horizontal="center" vertical="center"/>
      <protection locked="0"/>
    </xf>
    <xf numFmtId="164" fontId="14" fillId="0" borderId="48" xfId="0" applyNumberFormat="1" applyFont="1" applyBorder="1" applyAlignment="1" applyProtection="1">
      <alignment horizontal="center" vertical="center"/>
      <protection locked="0"/>
    </xf>
    <xf numFmtId="0" fontId="14" fillId="0" borderId="48" xfId="0" applyFont="1" applyBorder="1" applyAlignment="1" applyProtection="1">
      <alignment horizontal="center" vertical="center"/>
      <protection locked="0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6" xfId="0" applyBorder="1"/>
    <xf numFmtId="0" fontId="0" fillId="0" borderId="50" xfId="0" applyBorder="1"/>
    <xf numFmtId="14" fontId="0" fillId="0" borderId="51" xfId="0" applyNumberFormat="1" applyBorder="1"/>
    <xf numFmtId="164" fontId="14" fillId="0" borderId="6" xfId="0" applyNumberFormat="1" applyFont="1" applyBorder="1" applyAlignment="1" applyProtection="1">
      <alignment horizontal="center" vertical="center"/>
      <protection locked="0"/>
    </xf>
    <xf numFmtId="164" fontId="14" fillId="0" borderId="52" xfId="0" applyNumberFormat="1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53" xfId="0" applyBorder="1"/>
    <xf numFmtId="164" fontId="14" fillId="0" borderId="7" xfId="0" applyNumberFormat="1" applyFont="1" applyBorder="1" applyAlignment="1" applyProtection="1">
      <alignment horizontal="center" vertical="center"/>
      <protection locked="0"/>
    </xf>
    <xf numFmtId="164" fontId="14" fillId="0" borderId="54" xfId="0" applyNumberFormat="1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64" fontId="14" fillId="0" borderId="8" xfId="0" applyNumberFormat="1" applyFont="1" applyBorder="1" applyAlignment="1" applyProtection="1">
      <alignment horizontal="center" vertical="center"/>
      <protection locked="0"/>
    </xf>
    <xf numFmtId="164" fontId="14" fillId="0" borderId="55" xfId="0" applyNumberFormat="1" applyFont="1" applyBorder="1" applyAlignment="1" applyProtection="1">
      <alignment horizontal="center" vertical="center"/>
      <protection locked="0"/>
    </xf>
    <xf numFmtId="0" fontId="0" fillId="0" borderId="56" xfId="0" applyBorder="1"/>
    <xf numFmtId="164" fontId="14" fillId="0" borderId="57" xfId="0" applyNumberFormat="1" applyFont="1" applyBorder="1" applyAlignment="1" applyProtection="1">
      <alignment horizontal="center" vertical="center"/>
      <protection locked="0"/>
    </xf>
    <xf numFmtId="164" fontId="14" fillId="0" borderId="58" xfId="0" applyNumberFormat="1" applyFont="1" applyBorder="1" applyAlignment="1" applyProtection="1">
      <alignment horizontal="center" vertical="center"/>
      <protection locked="0"/>
    </xf>
    <xf numFmtId="0" fontId="15" fillId="0" borderId="59" xfId="0" applyFont="1" applyBorder="1" applyAlignment="1">
      <alignment horizontal="center"/>
    </xf>
    <xf numFmtId="0" fontId="15" fillId="0" borderId="57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16" fillId="0" borderId="60" xfId="0" applyFont="1" applyBorder="1" applyAlignment="1">
      <alignment horizontal="center"/>
    </xf>
    <xf numFmtId="0" fontId="16" fillId="0" borderId="60" xfId="0" applyFont="1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15" fillId="0" borderId="63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/>
    <xf numFmtId="0" fontId="16" fillId="0" borderId="7" xfId="0" applyFont="1" applyBorder="1"/>
    <xf numFmtId="164" fontId="15" fillId="0" borderId="13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/>
    </xf>
    <xf numFmtId="0" fontId="15" fillId="0" borderId="64" xfId="0" applyFont="1" applyBorder="1" applyAlignment="1">
      <alignment horizontal="center"/>
    </xf>
    <xf numFmtId="164" fontId="15" fillId="0" borderId="8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5" fillId="0" borderId="65" xfId="0" applyFont="1" applyBorder="1" applyAlignment="1">
      <alignment horizontal="center"/>
    </xf>
    <xf numFmtId="164" fontId="15" fillId="0" borderId="47" xfId="0" applyNumberFormat="1" applyFont="1" applyBorder="1" applyAlignment="1">
      <alignment horizontal="center" vertical="center"/>
    </xf>
    <xf numFmtId="164" fontId="15" fillId="0" borderId="47" xfId="0" applyNumberFormat="1" applyFont="1" applyBorder="1" applyAlignment="1">
      <alignment horizontal="center"/>
    </xf>
    <xf numFmtId="0" fontId="0" fillId="0" borderId="47" xfId="0" applyBorder="1" applyAlignment="1">
      <alignment horizontal="center" vertical="center"/>
    </xf>
    <xf numFmtId="164" fontId="15" fillId="0" borderId="57" xfId="0" applyNumberFormat="1" applyFont="1" applyBorder="1" applyAlignment="1">
      <alignment horizontal="center" vertical="center"/>
    </xf>
    <xf numFmtId="164" fontId="15" fillId="0" borderId="57" xfId="0" applyNumberFormat="1" applyFont="1" applyBorder="1" applyAlignment="1">
      <alignment horizontal="center"/>
    </xf>
    <xf numFmtId="164" fontId="15" fillId="0" borderId="6" xfId="0" applyNumberFormat="1" applyFont="1" applyBorder="1" applyAlignment="1">
      <alignment horizontal="center" vertical="center"/>
    </xf>
    <xf numFmtId="164" fontId="15" fillId="0" borderId="6" xfId="0" applyNumberFormat="1" applyFont="1" applyBorder="1" applyAlignment="1">
      <alignment horizontal="center"/>
    </xf>
    <xf numFmtId="14" fontId="0" fillId="0" borderId="66" xfId="0" applyNumberFormat="1" applyBorder="1"/>
    <xf numFmtId="0" fontId="15" fillId="0" borderId="67" xfId="0" applyFont="1" applyBorder="1" applyAlignment="1">
      <alignment horizontal="center"/>
    </xf>
    <xf numFmtId="164" fontId="15" fillId="0" borderId="60" xfId="0" applyNumberFormat="1" applyFont="1" applyBorder="1" applyAlignment="1">
      <alignment horizontal="center" vertical="center"/>
    </xf>
    <xf numFmtId="164" fontId="15" fillId="0" borderId="60" xfId="0" applyNumberFormat="1" applyFont="1" applyBorder="1" applyAlignment="1">
      <alignment horizontal="center"/>
    </xf>
    <xf numFmtId="0" fontId="15" fillId="0" borderId="60" xfId="0" applyFont="1" applyBorder="1" applyAlignment="1">
      <alignment horizontal="center" vertical="center"/>
    </xf>
    <xf numFmtId="14" fontId="0" fillId="0" borderId="68" xfId="0" applyNumberFormat="1" applyBorder="1"/>
    <xf numFmtId="0" fontId="16" fillId="0" borderId="7" xfId="0" applyFont="1" applyBorder="1" applyAlignment="1">
      <alignment horizontal="center" vertical="center"/>
    </xf>
    <xf numFmtId="164" fontId="14" fillId="0" borderId="69" xfId="0" applyNumberFormat="1" applyFont="1" applyBorder="1" applyAlignment="1" applyProtection="1">
      <alignment horizontal="center" vertical="center"/>
      <protection locked="0"/>
    </xf>
    <xf numFmtId="164" fontId="14" fillId="0" borderId="60" xfId="0" applyNumberFormat="1" applyFont="1" applyBorder="1" applyAlignment="1" applyProtection="1">
      <alignment horizontal="center" vertical="center"/>
      <protection locked="0"/>
    </xf>
    <xf numFmtId="164" fontId="14" fillId="0" borderId="70" xfId="0" applyNumberFormat="1" applyFont="1" applyBorder="1" applyAlignment="1" applyProtection="1">
      <alignment horizontal="center" vertical="center"/>
      <protection locked="0"/>
    </xf>
    <xf numFmtId="0" fontId="0" fillId="0" borderId="60" xfId="0" applyBorder="1" applyAlignment="1">
      <alignment horizontal="center" vertical="center"/>
    </xf>
    <xf numFmtId="0" fontId="0" fillId="0" borderId="71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3" fillId="0" borderId="0" xfId="0" applyFont="1" applyAlignment="1">
      <alignment horizontal="center" vertical="center"/>
    </xf>
    <xf numFmtId="0" fontId="9" fillId="3" borderId="35" xfId="0" applyFont="1" applyFill="1" applyBorder="1" applyAlignment="1" applyProtection="1">
      <alignment horizontal="center" vertical="center"/>
      <protection locked="0"/>
    </xf>
    <xf numFmtId="0" fontId="9" fillId="3" borderId="36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5" borderId="0" xfId="0" applyFont="1" applyFill="1" applyAlignment="1" applyProtection="1">
      <alignment horizontal="center" vertical="center"/>
      <protection locked="0"/>
    </xf>
    <xf numFmtId="17" fontId="9" fillId="3" borderId="0" xfId="0" quotePrefix="1" applyNumberFormat="1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[1]travinh!$AB$100:$AB$191</c:f>
              <c:numCache>
                <c:formatCode>General</c:formatCode>
                <c:ptCount val="92"/>
                <c:pt idx="0">
                  <c:v>199</c:v>
                </c:pt>
                <c:pt idx="1">
                  <c:v>206</c:v>
                </c:pt>
                <c:pt idx="2">
                  <c:v>180</c:v>
                </c:pt>
                <c:pt idx="3">
                  <c:v>154</c:v>
                </c:pt>
                <c:pt idx="4">
                  <c:v>130</c:v>
                </c:pt>
                <c:pt idx="5">
                  <c:v>133</c:v>
                </c:pt>
                <c:pt idx="6">
                  <c:v>142</c:v>
                </c:pt>
                <c:pt idx="7">
                  <c:v>139</c:v>
                </c:pt>
                <c:pt idx="8">
                  <c:v>142</c:v>
                </c:pt>
                <c:pt idx="9">
                  <c:v>139</c:v>
                </c:pt>
                <c:pt idx="10">
                  <c:v>141</c:v>
                </c:pt>
                <c:pt idx="11">
                  <c:v>137</c:v>
                </c:pt>
                <c:pt idx="12">
                  <c:v>139</c:v>
                </c:pt>
                <c:pt idx="13">
                  <c:v>149</c:v>
                </c:pt>
                <c:pt idx="14">
                  <c:v>156</c:v>
                </c:pt>
                <c:pt idx="15">
                  <c:v>151</c:v>
                </c:pt>
                <c:pt idx="16">
                  <c:v>130</c:v>
                </c:pt>
                <c:pt idx="17">
                  <c:v>121</c:v>
                </c:pt>
                <c:pt idx="18">
                  <c:v>112</c:v>
                </c:pt>
                <c:pt idx="19">
                  <c:v>101</c:v>
                </c:pt>
                <c:pt idx="20">
                  <c:v>110</c:v>
                </c:pt>
                <c:pt idx="21">
                  <c:v>114</c:v>
                </c:pt>
                <c:pt idx="22">
                  <c:v>122</c:v>
                </c:pt>
                <c:pt idx="23">
                  <c:v>126</c:v>
                </c:pt>
                <c:pt idx="24">
                  <c:v>135</c:v>
                </c:pt>
                <c:pt idx="25">
                  <c:v>138</c:v>
                </c:pt>
                <c:pt idx="26">
                  <c:v>143</c:v>
                </c:pt>
                <c:pt idx="27">
                  <c:v>158</c:v>
                </c:pt>
                <c:pt idx="28">
                  <c:v>167</c:v>
                </c:pt>
                <c:pt idx="29">
                  <c:v>172</c:v>
                </c:pt>
                <c:pt idx="31">
                  <c:v>166</c:v>
                </c:pt>
                <c:pt idx="32">
                  <c:v>159</c:v>
                </c:pt>
                <c:pt idx="33">
                  <c:v>126</c:v>
                </c:pt>
                <c:pt idx="34">
                  <c:v>120</c:v>
                </c:pt>
                <c:pt idx="35">
                  <c:v>120</c:v>
                </c:pt>
                <c:pt idx="36">
                  <c:v>125</c:v>
                </c:pt>
                <c:pt idx="37">
                  <c:v>129</c:v>
                </c:pt>
                <c:pt idx="38">
                  <c:v>128</c:v>
                </c:pt>
                <c:pt idx="39">
                  <c:v>122</c:v>
                </c:pt>
                <c:pt idx="40">
                  <c:v>117</c:v>
                </c:pt>
                <c:pt idx="41">
                  <c:v>127</c:v>
                </c:pt>
                <c:pt idx="42">
                  <c:v>125</c:v>
                </c:pt>
                <c:pt idx="43">
                  <c:v>130</c:v>
                </c:pt>
                <c:pt idx="44">
                  <c:v>135</c:v>
                </c:pt>
                <c:pt idx="45">
                  <c:v>133</c:v>
                </c:pt>
                <c:pt idx="46">
                  <c:v>134</c:v>
                </c:pt>
                <c:pt idx="47">
                  <c:v>127</c:v>
                </c:pt>
                <c:pt idx="48">
                  <c:v>125</c:v>
                </c:pt>
                <c:pt idx="49">
                  <c:v>120</c:v>
                </c:pt>
                <c:pt idx="50">
                  <c:v>120</c:v>
                </c:pt>
                <c:pt idx="51">
                  <c:v>126</c:v>
                </c:pt>
                <c:pt idx="52">
                  <c:v>125</c:v>
                </c:pt>
                <c:pt idx="53">
                  <c:v>136</c:v>
                </c:pt>
                <c:pt idx="54">
                  <c:v>144</c:v>
                </c:pt>
                <c:pt idx="55">
                  <c:v>145</c:v>
                </c:pt>
                <c:pt idx="56">
                  <c:v>148</c:v>
                </c:pt>
                <c:pt idx="57">
                  <c:v>156</c:v>
                </c:pt>
                <c:pt idx="58">
                  <c:v>153</c:v>
                </c:pt>
                <c:pt idx="59">
                  <c:v>159</c:v>
                </c:pt>
                <c:pt idx="60">
                  <c:v>145</c:v>
                </c:pt>
                <c:pt idx="61">
                  <c:v>128</c:v>
                </c:pt>
                <c:pt idx="62">
                  <c:v>122</c:v>
                </c:pt>
                <c:pt idx="63">
                  <c:v>109</c:v>
                </c:pt>
                <c:pt idx="64">
                  <c:v>108</c:v>
                </c:pt>
                <c:pt idx="65">
                  <c:v>122</c:v>
                </c:pt>
                <c:pt idx="66">
                  <c:v>115</c:v>
                </c:pt>
                <c:pt idx="67">
                  <c:v>107</c:v>
                </c:pt>
                <c:pt idx="68">
                  <c:v>108</c:v>
                </c:pt>
                <c:pt idx="69">
                  <c:v>85</c:v>
                </c:pt>
                <c:pt idx="70">
                  <c:v>100</c:v>
                </c:pt>
                <c:pt idx="71">
                  <c:v>106</c:v>
                </c:pt>
                <c:pt idx="72">
                  <c:v>105</c:v>
                </c:pt>
                <c:pt idx="73">
                  <c:v>114</c:v>
                </c:pt>
                <c:pt idx="74">
                  <c:v>114</c:v>
                </c:pt>
                <c:pt idx="75">
                  <c:v>121</c:v>
                </c:pt>
                <c:pt idx="76">
                  <c:v>120</c:v>
                </c:pt>
                <c:pt idx="77">
                  <c:v>119</c:v>
                </c:pt>
                <c:pt idx="78">
                  <c:v>118</c:v>
                </c:pt>
                <c:pt idx="79">
                  <c:v>127</c:v>
                </c:pt>
                <c:pt idx="80">
                  <c:v>119</c:v>
                </c:pt>
                <c:pt idx="81">
                  <c:v>127</c:v>
                </c:pt>
                <c:pt idx="82">
                  <c:v>132</c:v>
                </c:pt>
                <c:pt idx="83">
                  <c:v>115</c:v>
                </c:pt>
                <c:pt idx="84">
                  <c:v>116</c:v>
                </c:pt>
                <c:pt idx="85">
                  <c:v>120</c:v>
                </c:pt>
                <c:pt idx="86">
                  <c:v>130</c:v>
                </c:pt>
                <c:pt idx="87">
                  <c:v>135</c:v>
                </c:pt>
                <c:pt idx="88">
                  <c:v>142</c:v>
                </c:pt>
                <c:pt idx="89">
                  <c:v>134</c:v>
                </c:pt>
                <c:pt idx="90">
                  <c:v>134</c:v>
                </c:pt>
                <c:pt idx="91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6E-47DB-A3FF-D78BCBD08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142559"/>
        <c:axId val="1030143999"/>
      </c:scatterChart>
      <c:valAx>
        <c:axId val="103014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143999"/>
        <c:crosses val="autoZero"/>
        <c:crossBetween val="midCat"/>
      </c:valAx>
      <c:valAx>
        <c:axId val="1030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14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85725</xdr:colOff>
      <xdr:row>100</xdr:row>
      <xdr:rowOff>66675</xdr:rowOff>
    </xdr:from>
    <xdr:to>
      <xdr:col>45</xdr:col>
      <xdr:colOff>485775</xdr:colOff>
      <xdr:row>114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926FD-501E-4BA9-8F43-EA7FA38E7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fce279885593761/NAM%202025/MAN%202025/SO%20LIEU%20MUC%20NUOC/2025_Hgio_20tram2025_(Jan2Jun).xlsx" TargetMode="External"/><Relationship Id="rId1" Type="http://schemas.openxmlformats.org/officeDocument/2006/relationships/externalLinkPath" Target="/3fce279885593761/NAM%202025/MAN%202025/SO%20LIEU%20MUC%20NUOC/2025_Hgio_20tram2025_(Jan2Ju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ungtau"/>
      <sheetName val="bienhoa"/>
      <sheetName val="thudaumot"/>
      <sheetName val="phuan"/>
      <sheetName val="nhabe"/>
      <sheetName val="benluc"/>
      <sheetName val="vamkenh"/>
      <sheetName val="binhdai"/>
      <sheetName val="hoabinh"/>
      <sheetName val="travinh"/>
      <sheetName val="anthuan"/>
      <sheetName val="bentrai"/>
      <sheetName val="daingai"/>
      <sheetName val="trande"/>
      <sheetName val="ganhhao"/>
      <sheetName val="rachgia"/>
      <sheetName val="xeoro"/>
      <sheetName val="camau"/>
      <sheetName val="songdoc"/>
      <sheetName val="namc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0">
          <cell r="AB100">
            <v>199</v>
          </cell>
        </row>
        <row r="101">
          <cell r="AB101">
            <v>206</v>
          </cell>
        </row>
        <row r="102">
          <cell r="AB102">
            <v>180</v>
          </cell>
        </row>
        <row r="103">
          <cell r="AB103">
            <v>154</v>
          </cell>
        </row>
        <row r="104">
          <cell r="AB104">
            <v>130</v>
          </cell>
        </row>
        <row r="105">
          <cell r="AB105">
            <v>133</v>
          </cell>
        </row>
        <row r="106">
          <cell r="AB106">
            <v>142</v>
          </cell>
        </row>
        <row r="107">
          <cell r="AB107">
            <v>139</v>
          </cell>
        </row>
        <row r="108">
          <cell r="AB108">
            <v>142</v>
          </cell>
        </row>
        <row r="109">
          <cell r="AB109">
            <v>139</v>
          </cell>
        </row>
        <row r="110">
          <cell r="AB110">
            <v>141</v>
          </cell>
        </row>
        <row r="111">
          <cell r="AB111">
            <v>137</v>
          </cell>
        </row>
        <row r="112">
          <cell r="AB112">
            <v>139</v>
          </cell>
        </row>
        <row r="113">
          <cell r="AB113">
            <v>149</v>
          </cell>
        </row>
        <row r="114">
          <cell r="AB114">
            <v>156</v>
          </cell>
        </row>
        <row r="115">
          <cell r="AB115">
            <v>151</v>
          </cell>
        </row>
        <row r="116">
          <cell r="AB116">
            <v>130</v>
          </cell>
        </row>
        <row r="117">
          <cell r="AB117">
            <v>121</v>
          </cell>
        </row>
        <row r="118">
          <cell r="AB118">
            <v>112</v>
          </cell>
        </row>
        <row r="119">
          <cell r="AB119">
            <v>101</v>
          </cell>
        </row>
        <row r="120">
          <cell r="AB120">
            <v>110</v>
          </cell>
        </row>
        <row r="121">
          <cell r="AB121">
            <v>114</v>
          </cell>
        </row>
        <row r="122">
          <cell r="AB122">
            <v>122</v>
          </cell>
        </row>
        <row r="123">
          <cell r="AB123">
            <v>126</v>
          </cell>
        </row>
        <row r="124">
          <cell r="AB124">
            <v>135</v>
          </cell>
        </row>
        <row r="125">
          <cell r="AB125">
            <v>138</v>
          </cell>
        </row>
        <row r="126">
          <cell r="AB126">
            <v>143</v>
          </cell>
        </row>
        <row r="127">
          <cell r="AB127">
            <v>158</v>
          </cell>
        </row>
        <row r="128">
          <cell r="AB128">
            <v>167</v>
          </cell>
        </row>
        <row r="129">
          <cell r="AB129">
            <v>172</v>
          </cell>
        </row>
        <row r="131">
          <cell r="AB131">
            <v>166</v>
          </cell>
        </row>
        <row r="132">
          <cell r="AB132">
            <v>159</v>
          </cell>
        </row>
        <row r="133">
          <cell r="AB133">
            <v>126</v>
          </cell>
        </row>
        <row r="134">
          <cell r="AB134">
            <v>120</v>
          </cell>
        </row>
        <row r="135">
          <cell r="AB135">
            <v>120</v>
          </cell>
        </row>
        <row r="136">
          <cell r="AB136">
            <v>125</v>
          </cell>
        </row>
        <row r="137">
          <cell r="AB137">
            <v>129</v>
          </cell>
        </row>
        <row r="138">
          <cell r="AB138">
            <v>128</v>
          </cell>
        </row>
        <row r="139">
          <cell r="AB139">
            <v>122</v>
          </cell>
        </row>
        <row r="140">
          <cell r="AB140">
            <v>117</v>
          </cell>
        </row>
        <row r="141">
          <cell r="AB141">
            <v>127</v>
          </cell>
        </row>
        <row r="142">
          <cell r="AB142">
            <v>125</v>
          </cell>
        </row>
        <row r="143">
          <cell r="AB143">
            <v>130</v>
          </cell>
        </row>
        <row r="144">
          <cell r="AB144">
            <v>135</v>
          </cell>
        </row>
        <row r="145">
          <cell r="AB145">
            <v>133</v>
          </cell>
        </row>
        <row r="146">
          <cell r="AB146">
            <v>134</v>
          </cell>
        </row>
        <row r="147">
          <cell r="AB147">
            <v>127</v>
          </cell>
        </row>
        <row r="148">
          <cell r="AB148">
            <v>125</v>
          </cell>
        </row>
        <row r="149">
          <cell r="AB149">
            <v>120</v>
          </cell>
        </row>
        <row r="150">
          <cell r="AB150">
            <v>120</v>
          </cell>
        </row>
        <row r="151">
          <cell r="AB151">
            <v>126</v>
          </cell>
        </row>
        <row r="152">
          <cell r="AB152">
            <v>125</v>
          </cell>
        </row>
        <row r="153">
          <cell r="AB153">
            <v>136</v>
          </cell>
        </row>
        <row r="154">
          <cell r="AB154">
            <v>144</v>
          </cell>
        </row>
        <row r="155">
          <cell r="AB155">
            <v>145</v>
          </cell>
        </row>
        <row r="156">
          <cell r="AB156">
            <v>148</v>
          </cell>
        </row>
        <row r="157">
          <cell r="AB157">
            <v>156</v>
          </cell>
        </row>
        <row r="158">
          <cell r="AB158">
            <v>153</v>
          </cell>
        </row>
        <row r="159">
          <cell r="AB159">
            <v>159</v>
          </cell>
        </row>
        <row r="160">
          <cell r="AB160">
            <v>145</v>
          </cell>
        </row>
        <row r="161">
          <cell r="AB161">
            <v>128</v>
          </cell>
        </row>
        <row r="162">
          <cell r="AB162">
            <v>122</v>
          </cell>
        </row>
        <row r="163">
          <cell r="AB163">
            <v>109</v>
          </cell>
        </row>
        <row r="164">
          <cell r="AB164">
            <v>108</v>
          </cell>
        </row>
        <row r="165">
          <cell r="AB165">
            <v>122</v>
          </cell>
        </row>
        <row r="166">
          <cell r="AB166">
            <v>115</v>
          </cell>
        </row>
        <row r="167">
          <cell r="AB167">
            <v>107</v>
          </cell>
        </row>
        <row r="168">
          <cell r="AB168">
            <v>108</v>
          </cell>
        </row>
        <row r="169">
          <cell r="AB169">
            <v>85</v>
          </cell>
        </row>
        <row r="170">
          <cell r="AB170">
            <v>100</v>
          </cell>
        </row>
        <row r="171">
          <cell r="AB171">
            <v>106</v>
          </cell>
        </row>
        <row r="172">
          <cell r="AB172">
            <v>105</v>
          </cell>
        </row>
        <row r="173">
          <cell r="AB173">
            <v>114</v>
          </cell>
        </row>
        <row r="174">
          <cell r="AB174">
            <v>114</v>
          </cell>
        </row>
        <row r="175">
          <cell r="AB175">
            <v>121</v>
          </cell>
        </row>
        <row r="176">
          <cell r="AB176">
            <v>120</v>
          </cell>
        </row>
        <row r="177">
          <cell r="AB177">
            <v>119</v>
          </cell>
        </row>
        <row r="178">
          <cell r="AB178">
            <v>118</v>
          </cell>
        </row>
        <row r="179">
          <cell r="AB179">
            <v>127</v>
          </cell>
        </row>
        <row r="180">
          <cell r="AB180">
            <v>119</v>
          </cell>
        </row>
        <row r="181">
          <cell r="AB181">
            <v>127</v>
          </cell>
        </row>
        <row r="182">
          <cell r="AB182">
            <v>132</v>
          </cell>
        </row>
        <row r="183">
          <cell r="AB183">
            <v>115</v>
          </cell>
        </row>
        <row r="184">
          <cell r="AB184">
            <v>116</v>
          </cell>
        </row>
        <row r="185">
          <cell r="AB185">
            <v>120</v>
          </cell>
        </row>
        <row r="186">
          <cell r="AB186">
            <v>130</v>
          </cell>
        </row>
        <row r="187">
          <cell r="AB187">
            <v>135</v>
          </cell>
        </row>
        <row r="188">
          <cell r="AB188">
            <v>142</v>
          </cell>
        </row>
        <row r="189">
          <cell r="AB189">
            <v>134</v>
          </cell>
        </row>
        <row r="190">
          <cell r="AB190">
            <v>134</v>
          </cell>
        </row>
        <row r="191">
          <cell r="AB191">
            <v>126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AC35-8E41-405C-A873-2978B2760239}">
  <dimension ref="A1:AB378"/>
  <sheetViews>
    <sheetView workbookViewId="0">
      <selection sqref="A1:XFD1048576"/>
    </sheetView>
  </sheetViews>
  <sheetFormatPr defaultRowHeight="15" x14ac:dyDescent="0.25"/>
  <cols>
    <col min="1" max="1" width="11.140625" style="60" customWidth="1"/>
    <col min="2" max="25" width="4.7109375" style="2" customWidth="1"/>
    <col min="26" max="26" width="5.85546875" style="3" customWidth="1"/>
    <col min="27" max="27" width="9.85546875" style="2" customWidth="1"/>
  </cols>
  <sheetData>
    <row r="1" spans="1:27" x14ac:dyDescent="0.25">
      <c r="A1" s="1" t="s">
        <v>0</v>
      </c>
    </row>
    <row r="2" spans="1:27" x14ac:dyDescent="0.25">
      <c r="A2" s="4" t="s">
        <v>1</v>
      </c>
    </row>
    <row r="3" spans="1:27" x14ac:dyDescent="0.25">
      <c r="A3" s="5" t="s">
        <v>2</v>
      </c>
    </row>
    <row r="4" spans="1:27" ht="22.9" customHeight="1" x14ac:dyDescent="0.25">
      <c r="A4" s="149" t="s">
        <v>3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</row>
    <row r="5" spans="1:27" ht="20.100000000000001" customHeight="1" x14ac:dyDescent="0.25">
      <c r="A5" s="6" t="s">
        <v>4</v>
      </c>
      <c r="B5" s="7"/>
      <c r="C5" s="7"/>
      <c r="D5" s="8"/>
      <c r="E5" s="8"/>
      <c r="F5" s="8" t="s">
        <v>5</v>
      </c>
      <c r="G5" s="9"/>
      <c r="H5" s="9"/>
      <c r="I5" s="10"/>
      <c r="K5" s="8" t="s">
        <v>6</v>
      </c>
      <c r="L5" s="9"/>
      <c r="M5" s="9"/>
      <c r="P5" s="8" t="s">
        <v>7</v>
      </c>
      <c r="Q5" s="8"/>
      <c r="U5" s="8"/>
      <c r="X5" s="8"/>
      <c r="Z5" s="11"/>
      <c r="AA5" s="12" t="s">
        <v>8</v>
      </c>
    </row>
    <row r="6" spans="1:27" ht="24.95" customHeight="1" x14ac:dyDescent="0.25">
      <c r="A6" s="13" t="s">
        <v>9</v>
      </c>
      <c r="B6" s="14">
        <v>0</v>
      </c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15">
        <v>13</v>
      </c>
      <c r="P6" s="15">
        <v>14</v>
      </c>
      <c r="Q6" s="15">
        <v>15</v>
      </c>
      <c r="R6" s="15">
        <v>16</v>
      </c>
      <c r="S6" s="15">
        <v>17</v>
      </c>
      <c r="T6" s="15">
        <v>18</v>
      </c>
      <c r="U6" s="15">
        <v>19</v>
      </c>
      <c r="V6" s="15">
        <v>20</v>
      </c>
      <c r="W6" s="15">
        <v>21</v>
      </c>
      <c r="X6" s="15">
        <v>22</v>
      </c>
      <c r="Y6" s="16">
        <v>23</v>
      </c>
      <c r="Z6" s="17" t="s">
        <v>10</v>
      </c>
      <c r="AA6" s="18" t="s">
        <v>11</v>
      </c>
    </row>
    <row r="7" spans="1:27" ht="15" customHeight="1" x14ac:dyDescent="0.25">
      <c r="A7" s="19">
        <v>45658</v>
      </c>
      <c r="B7" s="20">
        <v>134</v>
      </c>
      <c r="C7" s="20">
        <v>156</v>
      </c>
      <c r="D7" s="20">
        <v>170</v>
      </c>
      <c r="E7" s="20">
        <v>163</v>
      </c>
      <c r="F7" s="20">
        <v>137</v>
      </c>
      <c r="G7" s="20">
        <v>90</v>
      </c>
      <c r="H7" s="20">
        <v>42</v>
      </c>
      <c r="I7" s="20">
        <v>-12</v>
      </c>
      <c r="J7" s="20">
        <v>-56</v>
      </c>
      <c r="K7" s="20">
        <v>-92</v>
      </c>
      <c r="L7" s="20">
        <v>-116</v>
      </c>
      <c r="M7" s="20">
        <v>-128</v>
      </c>
      <c r="N7" s="20">
        <v>-110</v>
      </c>
      <c r="O7" s="20">
        <v>-23</v>
      </c>
      <c r="P7" s="20">
        <v>52</v>
      </c>
      <c r="Q7" s="20">
        <v>105</v>
      </c>
      <c r="R7" s="20">
        <v>143</v>
      </c>
      <c r="S7" s="20">
        <v>173</v>
      </c>
      <c r="T7" s="20">
        <v>175</v>
      </c>
      <c r="U7" s="20">
        <v>157</v>
      </c>
      <c r="V7" s="20">
        <v>132</v>
      </c>
      <c r="W7" s="20">
        <v>101</v>
      </c>
      <c r="X7" s="20">
        <v>89</v>
      </c>
      <c r="Y7" s="20">
        <v>93</v>
      </c>
      <c r="Z7" s="21">
        <f t="shared" ref="Z7:Z65" si="0">SUM(B7:Y7)</f>
        <v>1575</v>
      </c>
      <c r="AA7" s="21">
        <f t="shared" ref="AA7:AA65" si="1">AVERAGE(B7:Y7)</f>
        <v>65.625</v>
      </c>
    </row>
    <row r="8" spans="1:27" ht="15" customHeight="1" x14ac:dyDescent="0.25">
      <c r="A8" s="22">
        <f t="shared" ref="A8:A37" si="2">A7+1</f>
        <v>45659</v>
      </c>
      <c r="B8" s="23">
        <v>123</v>
      </c>
      <c r="C8" s="23">
        <v>152</v>
      </c>
      <c r="D8" s="23">
        <v>175</v>
      </c>
      <c r="E8" s="23">
        <v>183</v>
      </c>
      <c r="F8" s="23">
        <v>170</v>
      </c>
      <c r="G8" s="23">
        <v>139</v>
      </c>
      <c r="H8" s="23">
        <v>91</v>
      </c>
      <c r="I8" s="23">
        <v>35</v>
      </c>
      <c r="J8" s="23">
        <v>-20</v>
      </c>
      <c r="K8" s="23">
        <v>-65</v>
      </c>
      <c r="L8" s="23">
        <v>-100</v>
      </c>
      <c r="M8" s="23">
        <v>-120</v>
      </c>
      <c r="N8" s="23">
        <v>-127</v>
      </c>
      <c r="O8" s="23">
        <v>-79</v>
      </c>
      <c r="P8" s="23">
        <v>14</v>
      </c>
      <c r="Q8" s="23">
        <v>80</v>
      </c>
      <c r="R8" s="23">
        <v>128</v>
      </c>
      <c r="S8" s="23">
        <v>164</v>
      </c>
      <c r="T8" s="23">
        <v>173</v>
      </c>
      <c r="U8" s="23">
        <v>161</v>
      </c>
      <c r="V8" s="23">
        <v>135</v>
      </c>
      <c r="W8" s="23">
        <v>106</v>
      </c>
      <c r="X8" s="23">
        <v>82</v>
      </c>
      <c r="Y8" s="23">
        <v>71</v>
      </c>
      <c r="Z8" s="24">
        <f t="shared" si="0"/>
        <v>1671</v>
      </c>
      <c r="AA8" s="24">
        <f t="shared" si="1"/>
        <v>69.625</v>
      </c>
    </row>
    <row r="9" spans="1:27" ht="15" customHeight="1" x14ac:dyDescent="0.25">
      <c r="A9" s="22">
        <f t="shared" si="2"/>
        <v>45660</v>
      </c>
      <c r="B9" s="23">
        <v>84</v>
      </c>
      <c r="C9" s="23">
        <v>115</v>
      </c>
      <c r="D9" s="23">
        <v>148</v>
      </c>
      <c r="E9" s="23">
        <v>169</v>
      </c>
      <c r="F9" s="23">
        <v>170</v>
      </c>
      <c r="G9" s="23">
        <v>154</v>
      </c>
      <c r="H9" s="23">
        <v>111</v>
      </c>
      <c r="I9" s="23">
        <v>60</v>
      </c>
      <c r="J9" s="23">
        <v>5</v>
      </c>
      <c r="K9" s="23">
        <v>-46</v>
      </c>
      <c r="L9" s="23">
        <v>-86</v>
      </c>
      <c r="M9" s="23">
        <v>-117</v>
      </c>
      <c r="N9" s="23">
        <v>-135</v>
      </c>
      <c r="O9" s="23">
        <v>-133</v>
      </c>
      <c r="P9" s="23">
        <v>-60</v>
      </c>
      <c r="Q9" s="23">
        <v>24</v>
      </c>
      <c r="R9" s="23">
        <v>80</v>
      </c>
      <c r="S9" s="23">
        <v>123</v>
      </c>
      <c r="T9" s="23">
        <v>155</v>
      </c>
      <c r="U9" s="23">
        <v>164</v>
      </c>
      <c r="V9" s="23">
        <v>144</v>
      </c>
      <c r="W9" s="23">
        <v>117</v>
      </c>
      <c r="X9" s="23">
        <v>86</v>
      </c>
      <c r="Y9" s="23">
        <v>69</v>
      </c>
      <c r="Z9" s="24">
        <f t="shared" si="0"/>
        <v>1401</v>
      </c>
      <c r="AA9" s="24">
        <f t="shared" si="1"/>
        <v>58.375</v>
      </c>
    </row>
    <row r="10" spans="1:27" ht="15" customHeight="1" x14ac:dyDescent="0.25">
      <c r="A10" s="22">
        <f t="shared" si="2"/>
        <v>45661</v>
      </c>
      <c r="B10" s="23">
        <v>63</v>
      </c>
      <c r="C10" s="23">
        <v>84</v>
      </c>
      <c r="D10" s="23">
        <v>118</v>
      </c>
      <c r="E10" s="23">
        <v>146</v>
      </c>
      <c r="F10" s="23">
        <v>165</v>
      </c>
      <c r="G10" s="23">
        <v>167</v>
      </c>
      <c r="H10" s="23">
        <v>148</v>
      </c>
      <c r="I10" s="23">
        <v>104</v>
      </c>
      <c r="J10" s="23">
        <v>56</v>
      </c>
      <c r="K10" s="23">
        <v>2</v>
      </c>
      <c r="L10" s="23">
        <v>-45</v>
      </c>
      <c r="M10" s="23">
        <v>-84</v>
      </c>
      <c r="N10" s="23">
        <v>-108</v>
      </c>
      <c r="O10" s="23">
        <v>-119</v>
      </c>
      <c r="P10" s="23">
        <v>-94</v>
      </c>
      <c r="Q10" s="23">
        <v>-10</v>
      </c>
      <c r="R10" s="23">
        <v>56</v>
      </c>
      <c r="S10" s="23">
        <v>106</v>
      </c>
      <c r="T10" s="23">
        <v>142</v>
      </c>
      <c r="U10" s="23">
        <v>166</v>
      </c>
      <c r="V10" s="23">
        <v>167</v>
      </c>
      <c r="W10" s="23">
        <v>146</v>
      </c>
      <c r="X10" s="23">
        <v>114</v>
      </c>
      <c r="Y10" s="23">
        <v>84</v>
      </c>
      <c r="Z10" s="24">
        <f t="shared" si="0"/>
        <v>1574</v>
      </c>
      <c r="AA10" s="24">
        <f t="shared" si="1"/>
        <v>65.583333333333329</v>
      </c>
    </row>
    <row r="11" spans="1:27" ht="15" customHeight="1" x14ac:dyDescent="0.25">
      <c r="A11" s="22">
        <f t="shared" si="2"/>
        <v>45662</v>
      </c>
      <c r="B11" s="23">
        <v>59</v>
      </c>
      <c r="C11" s="23">
        <v>54</v>
      </c>
      <c r="D11" s="23">
        <v>76</v>
      </c>
      <c r="E11" s="23">
        <v>106</v>
      </c>
      <c r="F11" s="23">
        <v>135</v>
      </c>
      <c r="G11" s="23">
        <v>153</v>
      </c>
      <c r="H11" s="23">
        <v>154</v>
      </c>
      <c r="I11" s="23">
        <v>134</v>
      </c>
      <c r="J11" s="23">
        <v>93</v>
      </c>
      <c r="K11" s="23">
        <v>44</v>
      </c>
      <c r="L11" s="23">
        <v>-9</v>
      </c>
      <c r="M11" s="23">
        <v>-51</v>
      </c>
      <c r="N11" s="23">
        <v>-83</v>
      </c>
      <c r="O11" s="23">
        <v>-101</v>
      </c>
      <c r="P11" s="23">
        <v>-101</v>
      </c>
      <c r="Q11" s="23">
        <v>-45</v>
      </c>
      <c r="R11" s="23">
        <v>30</v>
      </c>
      <c r="S11" s="23">
        <v>88</v>
      </c>
      <c r="T11" s="23">
        <v>130</v>
      </c>
      <c r="U11" s="23">
        <v>162</v>
      </c>
      <c r="V11" s="23">
        <v>174</v>
      </c>
      <c r="W11" s="23">
        <v>159</v>
      </c>
      <c r="X11" s="23">
        <v>130</v>
      </c>
      <c r="Y11" s="23">
        <v>90</v>
      </c>
      <c r="Z11" s="24">
        <f t="shared" si="0"/>
        <v>1581</v>
      </c>
      <c r="AA11" s="24">
        <f t="shared" si="1"/>
        <v>65.875</v>
      </c>
    </row>
    <row r="12" spans="1:27" ht="15" customHeight="1" x14ac:dyDescent="0.25">
      <c r="A12" s="22">
        <f t="shared" si="2"/>
        <v>45663</v>
      </c>
      <c r="B12" s="23">
        <v>61</v>
      </c>
      <c r="C12" s="23">
        <v>43</v>
      </c>
      <c r="D12" s="23">
        <v>39</v>
      </c>
      <c r="E12" s="23">
        <v>59</v>
      </c>
      <c r="F12" s="23">
        <v>89</v>
      </c>
      <c r="G12" s="23">
        <v>116</v>
      </c>
      <c r="H12" s="23">
        <v>139</v>
      </c>
      <c r="I12" s="23">
        <v>138</v>
      </c>
      <c r="J12" s="23">
        <v>120</v>
      </c>
      <c r="K12" s="23">
        <v>84</v>
      </c>
      <c r="L12" s="23">
        <v>44</v>
      </c>
      <c r="M12" s="23">
        <v>-2</v>
      </c>
      <c r="N12" s="23">
        <v>-42</v>
      </c>
      <c r="O12" s="23">
        <v>-72</v>
      </c>
      <c r="P12" s="23">
        <v>-85</v>
      </c>
      <c r="Q12" s="23">
        <v>-64</v>
      </c>
      <c r="R12" s="23">
        <v>4</v>
      </c>
      <c r="S12" s="23">
        <v>60</v>
      </c>
      <c r="T12" s="23">
        <v>108</v>
      </c>
      <c r="U12" s="23">
        <v>142</v>
      </c>
      <c r="V12" s="23">
        <v>168</v>
      </c>
      <c r="W12" s="23">
        <v>171</v>
      </c>
      <c r="X12" s="23">
        <v>147</v>
      </c>
      <c r="Y12" s="23">
        <v>115</v>
      </c>
      <c r="Z12" s="24">
        <f t="shared" si="0"/>
        <v>1582</v>
      </c>
      <c r="AA12" s="24">
        <f t="shared" si="1"/>
        <v>65.916666666666671</v>
      </c>
    </row>
    <row r="13" spans="1:27" ht="15" customHeight="1" x14ac:dyDescent="0.25">
      <c r="A13" s="22">
        <f t="shared" si="2"/>
        <v>45664</v>
      </c>
      <c r="B13" s="23">
        <v>73</v>
      </c>
      <c r="C13" s="23">
        <v>42</v>
      </c>
      <c r="D13" s="23">
        <v>15</v>
      </c>
      <c r="E13" s="23">
        <v>5</v>
      </c>
      <c r="F13" s="23">
        <v>20</v>
      </c>
      <c r="G13" s="23">
        <v>46</v>
      </c>
      <c r="H13" s="23">
        <v>77</v>
      </c>
      <c r="I13" s="23">
        <v>101</v>
      </c>
      <c r="J13" s="23">
        <v>107</v>
      </c>
      <c r="K13" s="23">
        <v>102</v>
      </c>
      <c r="L13" s="23">
        <v>78</v>
      </c>
      <c r="M13" s="23">
        <v>43</v>
      </c>
      <c r="N13" s="23">
        <v>5</v>
      </c>
      <c r="O13" s="23">
        <v>-30</v>
      </c>
      <c r="P13" s="23">
        <v>-53</v>
      </c>
      <c r="Q13" s="23">
        <v>-55</v>
      </c>
      <c r="R13" s="23">
        <v>-20</v>
      </c>
      <c r="S13" s="23">
        <v>31</v>
      </c>
      <c r="T13" s="23">
        <v>80</v>
      </c>
      <c r="U13" s="23">
        <v>124</v>
      </c>
      <c r="V13" s="23">
        <v>155</v>
      </c>
      <c r="W13" s="23">
        <v>174</v>
      </c>
      <c r="X13" s="23">
        <v>166</v>
      </c>
      <c r="Y13" s="23">
        <v>134</v>
      </c>
      <c r="Z13" s="24">
        <f t="shared" si="0"/>
        <v>1420</v>
      </c>
      <c r="AA13" s="24">
        <f t="shared" si="1"/>
        <v>59.166666666666664</v>
      </c>
    </row>
    <row r="14" spans="1:27" ht="15" customHeight="1" x14ac:dyDescent="0.25">
      <c r="A14" s="22">
        <f t="shared" si="2"/>
        <v>45665</v>
      </c>
      <c r="B14" s="23">
        <v>93</v>
      </c>
      <c r="C14" s="23">
        <v>55</v>
      </c>
      <c r="D14" s="23">
        <v>20</v>
      </c>
      <c r="E14" s="23">
        <v>-10</v>
      </c>
      <c r="F14" s="23">
        <v>-29</v>
      </c>
      <c r="G14" s="23">
        <v>-19</v>
      </c>
      <c r="H14" s="23">
        <v>13</v>
      </c>
      <c r="I14" s="23">
        <v>45</v>
      </c>
      <c r="J14" s="23">
        <v>72</v>
      </c>
      <c r="K14" s="23">
        <v>91</v>
      </c>
      <c r="L14" s="23">
        <v>99</v>
      </c>
      <c r="M14" s="23">
        <v>91</v>
      </c>
      <c r="N14" s="23">
        <v>67</v>
      </c>
      <c r="O14" s="23">
        <v>42</v>
      </c>
      <c r="P14" s="23">
        <v>16</v>
      </c>
      <c r="Q14" s="23">
        <v>1</v>
      </c>
      <c r="R14" s="23">
        <v>7</v>
      </c>
      <c r="S14" s="23">
        <v>37</v>
      </c>
      <c r="T14" s="23">
        <v>69</v>
      </c>
      <c r="U14" s="23">
        <v>107</v>
      </c>
      <c r="V14" s="23">
        <v>139</v>
      </c>
      <c r="W14" s="23">
        <v>160</v>
      </c>
      <c r="X14" s="23">
        <v>170</v>
      </c>
      <c r="Y14" s="23">
        <v>156</v>
      </c>
      <c r="Z14" s="24">
        <f t="shared" si="0"/>
        <v>1492</v>
      </c>
      <c r="AA14" s="24">
        <f t="shared" si="1"/>
        <v>62.166666666666664</v>
      </c>
    </row>
    <row r="15" spans="1:27" ht="15" customHeight="1" x14ac:dyDescent="0.25">
      <c r="A15" s="22">
        <f t="shared" si="2"/>
        <v>45666</v>
      </c>
      <c r="B15" s="23">
        <v>118</v>
      </c>
      <c r="C15" s="23">
        <v>71</v>
      </c>
      <c r="D15" s="23">
        <v>31</v>
      </c>
      <c r="E15" s="23">
        <v>-7</v>
      </c>
      <c r="F15" s="23">
        <v>-40</v>
      </c>
      <c r="G15" s="23">
        <v>-63</v>
      </c>
      <c r="H15" s="23">
        <v>-65</v>
      </c>
      <c r="I15" s="23">
        <v>-39</v>
      </c>
      <c r="J15" s="23">
        <v>3</v>
      </c>
      <c r="K15" s="23">
        <v>42</v>
      </c>
      <c r="L15" s="23">
        <v>68</v>
      </c>
      <c r="M15" s="23">
        <v>88</v>
      </c>
      <c r="N15" s="23">
        <v>96</v>
      </c>
      <c r="O15" s="23">
        <v>89</v>
      </c>
      <c r="P15" s="23">
        <v>79</v>
      </c>
      <c r="Q15" s="23">
        <v>61</v>
      </c>
      <c r="R15" s="23">
        <v>47</v>
      </c>
      <c r="S15" s="23">
        <v>46</v>
      </c>
      <c r="T15" s="23">
        <v>60</v>
      </c>
      <c r="U15" s="23">
        <v>85</v>
      </c>
      <c r="V15" s="23">
        <v>116</v>
      </c>
      <c r="W15" s="23">
        <v>139</v>
      </c>
      <c r="X15" s="23">
        <v>155</v>
      </c>
      <c r="Y15" s="23">
        <v>157</v>
      </c>
      <c r="Z15" s="24">
        <f t="shared" si="0"/>
        <v>1337</v>
      </c>
      <c r="AA15" s="24">
        <f t="shared" si="1"/>
        <v>55.708333333333336</v>
      </c>
    </row>
    <row r="16" spans="1:27" ht="15" customHeight="1" x14ac:dyDescent="0.25">
      <c r="A16" s="22">
        <f t="shared" si="2"/>
        <v>45667</v>
      </c>
      <c r="B16" s="23">
        <v>139</v>
      </c>
      <c r="C16" s="23">
        <v>102</v>
      </c>
      <c r="D16" s="23">
        <v>56</v>
      </c>
      <c r="E16" s="23">
        <v>12</v>
      </c>
      <c r="F16" s="23">
        <v>-29</v>
      </c>
      <c r="G16" s="23">
        <v>-65</v>
      </c>
      <c r="H16" s="23">
        <v>-88</v>
      </c>
      <c r="I16" s="23">
        <v>-94</v>
      </c>
      <c r="J16" s="23">
        <v>-60</v>
      </c>
      <c r="K16" s="23">
        <v>-9</v>
      </c>
      <c r="L16" s="23">
        <v>41</v>
      </c>
      <c r="M16" s="23">
        <v>83</v>
      </c>
      <c r="N16" s="23">
        <v>118</v>
      </c>
      <c r="O16" s="23">
        <v>138</v>
      </c>
      <c r="P16" s="23">
        <v>135</v>
      </c>
      <c r="Q16" s="23">
        <v>128</v>
      </c>
      <c r="R16" s="23">
        <v>109</v>
      </c>
      <c r="S16" s="23">
        <v>100</v>
      </c>
      <c r="T16" s="23">
        <v>96</v>
      </c>
      <c r="U16" s="23">
        <v>105</v>
      </c>
      <c r="V16" s="23">
        <v>126</v>
      </c>
      <c r="W16" s="23">
        <v>153</v>
      </c>
      <c r="X16" s="23">
        <v>169</v>
      </c>
      <c r="Y16" s="23">
        <v>179</v>
      </c>
      <c r="Z16" s="24">
        <f t="shared" si="0"/>
        <v>1644</v>
      </c>
      <c r="AA16" s="24">
        <f t="shared" si="1"/>
        <v>68.5</v>
      </c>
    </row>
    <row r="17" spans="1:27" ht="15" customHeight="1" x14ac:dyDescent="0.25">
      <c r="A17" s="22">
        <f t="shared" si="2"/>
        <v>45668</v>
      </c>
      <c r="B17" s="23">
        <v>171</v>
      </c>
      <c r="C17" s="23">
        <v>150</v>
      </c>
      <c r="D17" s="23">
        <v>110</v>
      </c>
      <c r="E17" s="23">
        <v>62</v>
      </c>
      <c r="F17" s="23">
        <v>15</v>
      </c>
      <c r="G17" s="23">
        <v>-26</v>
      </c>
      <c r="H17" s="23">
        <v>-60</v>
      </c>
      <c r="I17" s="23">
        <v>-82</v>
      </c>
      <c r="J17" s="23">
        <v>-88</v>
      </c>
      <c r="K17" s="23">
        <v>-63</v>
      </c>
      <c r="L17" s="23">
        <v>-11</v>
      </c>
      <c r="M17" s="23">
        <v>38</v>
      </c>
      <c r="N17" s="23">
        <v>86</v>
      </c>
      <c r="O17" s="23">
        <v>126</v>
      </c>
      <c r="P17" s="23">
        <v>150</v>
      </c>
      <c r="Q17" s="23">
        <v>159</v>
      </c>
      <c r="R17" s="23">
        <v>149</v>
      </c>
      <c r="S17" s="23">
        <v>138</v>
      </c>
      <c r="T17" s="23">
        <v>125</v>
      </c>
      <c r="U17" s="23">
        <v>121</v>
      </c>
      <c r="V17" s="23">
        <v>125</v>
      </c>
      <c r="W17" s="23">
        <v>141</v>
      </c>
      <c r="X17" s="23">
        <v>162</v>
      </c>
      <c r="Y17" s="23">
        <v>180</v>
      </c>
      <c r="Z17" s="24">
        <f t="shared" si="0"/>
        <v>1878</v>
      </c>
      <c r="AA17" s="24">
        <f t="shared" si="1"/>
        <v>78.25</v>
      </c>
    </row>
    <row r="18" spans="1:27" ht="15" customHeight="1" x14ac:dyDescent="0.25">
      <c r="A18" s="22">
        <f t="shared" si="2"/>
        <v>45669</v>
      </c>
      <c r="B18" s="23">
        <v>187</v>
      </c>
      <c r="C18" s="23">
        <v>173</v>
      </c>
      <c r="D18" s="23">
        <v>141</v>
      </c>
      <c r="E18" s="23">
        <v>95</v>
      </c>
      <c r="F18" s="23">
        <v>37</v>
      </c>
      <c r="G18" s="23">
        <v>-12</v>
      </c>
      <c r="H18" s="23">
        <v>-51</v>
      </c>
      <c r="I18" s="23">
        <v>-88</v>
      </c>
      <c r="J18" s="23">
        <v>-107</v>
      </c>
      <c r="K18" s="23">
        <v>-110</v>
      </c>
      <c r="L18" s="23">
        <v>-71</v>
      </c>
      <c r="M18" s="23">
        <v>0</v>
      </c>
      <c r="N18" s="23">
        <v>56</v>
      </c>
      <c r="O18" s="23">
        <v>100</v>
      </c>
      <c r="P18" s="23">
        <v>138</v>
      </c>
      <c r="Q18" s="23">
        <v>164</v>
      </c>
      <c r="R18" s="23">
        <v>168</v>
      </c>
      <c r="S18" s="23">
        <v>161</v>
      </c>
      <c r="T18" s="23">
        <v>143</v>
      </c>
      <c r="U18" s="23">
        <v>126</v>
      </c>
      <c r="V18" s="23">
        <v>125</v>
      </c>
      <c r="W18" s="23">
        <v>132</v>
      </c>
      <c r="X18" s="23">
        <v>147</v>
      </c>
      <c r="Y18" s="23">
        <v>167</v>
      </c>
      <c r="Z18" s="24">
        <f t="shared" si="0"/>
        <v>1821</v>
      </c>
      <c r="AA18" s="24">
        <f t="shared" si="1"/>
        <v>75.875</v>
      </c>
    </row>
    <row r="19" spans="1:27" ht="15" customHeight="1" x14ac:dyDescent="0.25">
      <c r="A19" s="22">
        <f t="shared" si="2"/>
        <v>45670</v>
      </c>
      <c r="B19" s="23">
        <v>189</v>
      </c>
      <c r="C19" s="23">
        <v>190</v>
      </c>
      <c r="D19" s="23">
        <v>173</v>
      </c>
      <c r="E19" s="23">
        <v>135</v>
      </c>
      <c r="F19" s="23">
        <v>81</v>
      </c>
      <c r="G19" s="23">
        <v>24</v>
      </c>
      <c r="H19" s="23">
        <v>-25</v>
      </c>
      <c r="I19" s="23">
        <v>-67</v>
      </c>
      <c r="J19" s="23">
        <v>-97</v>
      </c>
      <c r="K19" s="23">
        <v>-114</v>
      </c>
      <c r="L19" s="23">
        <v>-116</v>
      </c>
      <c r="M19" s="23">
        <v>-65</v>
      </c>
      <c r="N19" s="23">
        <v>15</v>
      </c>
      <c r="O19" s="23">
        <v>75</v>
      </c>
      <c r="P19" s="23">
        <v>121</v>
      </c>
      <c r="Q19" s="23">
        <v>157</v>
      </c>
      <c r="R19" s="23">
        <v>174</v>
      </c>
      <c r="S19" s="23">
        <v>174</v>
      </c>
      <c r="T19" s="23">
        <v>158</v>
      </c>
      <c r="U19" s="23">
        <v>135</v>
      </c>
      <c r="V19" s="23">
        <v>113</v>
      </c>
      <c r="W19" s="23">
        <v>113</v>
      </c>
      <c r="X19" s="23">
        <v>123</v>
      </c>
      <c r="Y19" s="23">
        <v>145</v>
      </c>
      <c r="Z19" s="24">
        <f t="shared" si="0"/>
        <v>1811</v>
      </c>
      <c r="AA19" s="24">
        <f t="shared" si="1"/>
        <v>75.458333333333329</v>
      </c>
    </row>
    <row r="20" spans="1:27" ht="15" customHeight="1" x14ac:dyDescent="0.25">
      <c r="A20" s="22">
        <f t="shared" si="2"/>
        <v>45671</v>
      </c>
      <c r="B20" s="23">
        <v>170</v>
      </c>
      <c r="C20" s="23">
        <v>182</v>
      </c>
      <c r="D20" s="23">
        <v>179</v>
      </c>
      <c r="E20" s="23">
        <v>151</v>
      </c>
      <c r="F20" s="23">
        <v>112</v>
      </c>
      <c r="G20" s="23">
        <v>55</v>
      </c>
      <c r="H20" s="23">
        <v>-3</v>
      </c>
      <c r="I20" s="23">
        <v>-48</v>
      </c>
      <c r="J20" s="23">
        <v>-86</v>
      </c>
      <c r="K20" s="23">
        <v>-114</v>
      </c>
      <c r="L20" s="23">
        <v>-130</v>
      </c>
      <c r="M20" s="23">
        <v>-128</v>
      </c>
      <c r="N20" s="23">
        <v>-51</v>
      </c>
      <c r="O20" s="23">
        <v>29</v>
      </c>
      <c r="P20" s="23">
        <v>88</v>
      </c>
      <c r="Q20" s="23">
        <v>129</v>
      </c>
      <c r="R20" s="23">
        <v>162</v>
      </c>
      <c r="S20" s="23">
        <v>171</v>
      </c>
      <c r="T20" s="23">
        <v>160</v>
      </c>
      <c r="U20" s="23">
        <v>130</v>
      </c>
      <c r="V20" s="23">
        <v>103</v>
      </c>
      <c r="W20" s="23">
        <v>82</v>
      </c>
      <c r="X20" s="23">
        <v>82</v>
      </c>
      <c r="Y20" s="23">
        <v>98</v>
      </c>
      <c r="Z20" s="24">
        <f t="shared" si="0"/>
        <v>1523</v>
      </c>
      <c r="AA20" s="24">
        <f t="shared" si="1"/>
        <v>63.458333333333336</v>
      </c>
    </row>
    <row r="21" spans="1:27" ht="15" customHeight="1" x14ac:dyDescent="0.25">
      <c r="A21" s="22">
        <f t="shared" si="2"/>
        <v>45672</v>
      </c>
      <c r="B21" s="23">
        <v>131</v>
      </c>
      <c r="C21" s="23">
        <v>161</v>
      </c>
      <c r="D21" s="23">
        <v>174</v>
      </c>
      <c r="E21" s="23">
        <v>175</v>
      </c>
      <c r="F21" s="23">
        <v>150</v>
      </c>
      <c r="G21" s="23">
        <v>104</v>
      </c>
      <c r="H21" s="23">
        <v>47</v>
      </c>
      <c r="I21" s="23">
        <v>-10</v>
      </c>
      <c r="J21" s="23">
        <v>-61</v>
      </c>
      <c r="K21" s="23">
        <v>-100</v>
      </c>
      <c r="L21" s="23">
        <v>-127</v>
      </c>
      <c r="M21" s="23">
        <v>-142</v>
      </c>
      <c r="N21" s="23">
        <v>-122</v>
      </c>
      <c r="O21" s="23">
        <v>-30</v>
      </c>
      <c r="P21" s="23">
        <v>49</v>
      </c>
      <c r="Q21" s="23">
        <v>104</v>
      </c>
      <c r="R21" s="23">
        <v>144</v>
      </c>
      <c r="S21" s="23">
        <v>172</v>
      </c>
      <c r="T21" s="23">
        <v>178</v>
      </c>
      <c r="U21" s="23">
        <v>160</v>
      </c>
      <c r="V21" s="23">
        <v>138</v>
      </c>
      <c r="W21" s="23">
        <v>106</v>
      </c>
      <c r="X21" s="23">
        <v>85</v>
      </c>
      <c r="Y21" s="23">
        <v>87</v>
      </c>
      <c r="Z21" s="24">
        <f t="shared" si="0"/>
        <v>1573</v>
      </c>
      <c r="AA21" s="24">
        <f t="shared" si="1"/>
        <v>65.541666666666671</v>
      </c>
    </row>
    <row r="22" spans="1:27" ht="15" customHeight="1" x14ac:dyDescent="0.25">
      <c r="A22" s="22">
        <f t="shared" si="2"/>
        <v>45673</v>
      </c>
      <c r="B22" s="23">
        <v>110</v>
      </c>
      <c r="C22" s="23">
        <v>142</v>
      </c>
      <c r="D22" s="23">
        <v>172</v>
      </c>
      <c r="E22" s="23">
        <v>188</v>
      </c>
      <c r="F22" s="23">
        <v>186</v>
      </c>
      <c r="G22" s="23">
        <v>160</v>
      </c>
      <c r="H22" s="23">
        <v>107</v>
      </c>
      <c r="I22" s="23">
        <v>50</v>
      </c>
      <c r="J22" s="23">
        <v>-6</v>
      </c>
      <c r="K22" s="23">
        <v>-52</v>
      </c>
      <c r="L22" s="23">
        <v>-88</v>
      </c>
      <c r="M22" s="23">
        <v>-113</v>
      </c>
      <c r="N22" s="23">
        <v>-118</v>
      </c>
      <c r="O22" s="23">
        <v>-62</v>
      </c>
      <c r="P22" s="23">
        <v>16</v>
      </c>
      <c r="Q22" s="23">
        <v>82</v>
      </c>
      <c r="R22" s="23">
        <v>130</v>
      </c>
      <c r="S22" s="23">
        <v>166</v>
      </c>
      <c r="T22" s="23">
        <v>180</v>
      </c>
      <c r="U22" s="23">
        <v>172</v>
      </c>
      <c r="V22" s="23">
        <v>149</v>
      </c>
      <c r="W22" s="23">
        <v>120</v>
      </c>
      <c r="X22" s="23">
        <v>95</v>
      </c>
      <c r="Y22" s="23">
        <v>80</v>
      </c>
      <c r="Z22" s="24">
        <f t="shared" si="0"/>
        <v>1866</v>
      </c>
      <c r="AA22" s="24">
        <f t="shared" si="1"/>
        <v>77.75</v>
      </c>
    </row>
    <row r="23" spans="1:27" ht="15" customHeight="1" x14ac:dyDescent="0.25">
      <c r="A23" s="22">
        <f t="shared" si="2"/>
        <v>45674</v>
      </c>
      <c r="B23" s="23">
        <v>85</v>
      </c>
      <c r="C23" s="23">
        <v>108</v>
      </c>
      <c r="D23" s="23">
        <v>142</v>
      </c>
      <c r="E23" s="23">
        <v>171</v>
      </c>
      <c r="F23" s="23">
        <v>183</v>
      </c>
      <c r="G23" s="23">
        <v>174</v>
      </c>
      <c r="H23" s="23">
        <v>138</v>
      </c>
      <c r="I23" s="23">
        <v>87</v>
      </c>
      <c r="J23" s="23">
        <v>28</v>
      </c>
      <c r="K23" s="23">
        <v>-27</v>
      </c>
      <c r="L23" s="23">
        <v>-66</v>
      </c>
      <c r="M23" s="23">
        <v>-94</v>
      </c>
      <c r="N23" s="23">
        <v>-109</v>
      </c>
      <c r="O23" s="23">
        <v>-86</v>
      </c>
      <c r="P23" s="23">
        <v>0</v>
      </c>
      <c r="Q23" s="23">
        <v>57</v>
      </c>
      <c r="R23" s="23">
        <v>119</v>
      </c>
      <c r="S23" s="23">
        <v>160</v>
      </c>
      <c r="T23" s="23">
        <v>180</v>
      </c>
      <c r="U23" s="23">
        <v>178</v>
      </c>
      <c r="V23" s="23">
        <v>159</v>
      </c>
      <c r="W23" s="23">
        <v>123</v>
      </c>
      <c r="X23" s="23">
        <v>91</v>
      </c>
      <c r="Y23" s="23">
        <v>64</v>
      </c>
      <c r="Z23" s="24">
        <f t="shared" si="0"/>
        <v>1865</v>
      </c>
      <c r="AA23" s="24">
        <f t="shared" si="1"/>
        <v>77.708333333333329</v>
      </c>
    </row>
    <row r="24" spans="1:27" ht="15" customHeight="1" x14ac:dyDescent="0.25">
      <c r="A24" s="22">
        <f t="shared" si="2"/>
        <v>45675</v>
      </c>
      <c r="B24" s="23">
        <v>59</v>
      </c>
      <c r="C24" s="23">
        <v>78</v>
      </c>
      <c r="D24" s="23">
        <v>114</v>
      </c>
      <c r="E24" s="23">
        <v>144</v>
      </c>
      <c r="F24" s="23">
        <v>166</v>
      </c>
      <c r="G24" s="23">
        <v>173</v>
      </c>
      <c r="H24" s="23">
        <v>154</v>
      </c>
      <c r="I24" s="23">
        <v>110</v>
      </c>
      <c r="J24" s="23">
        <v>56</v>
      </c>
      <c r="K24" s="23">
        <v>0</v>
      </c>
      <c r="L24" s="23">
        <v>-45</v>
      </c>
      <c r="M24" s="23">
        <v>-79</v>
      </c>
      <c r="N24" s="23">
        <v>-100</v>
      </c>
      <c r="O24" s="23">
        <v>-98</v>
      </c>
      <c r="P24" s="23">
        <v>-48</v>
      </c>
      <c r="Q24" s="23">
        <v>29</v>
      </c>
      <c r="R24" s="23">
        <v>86</v>
      </c>
      <c r="S24" s="23">
        <v>130</v>
      </c>
      <c r="T24" s="23">
        <v>160</v>
      </c>
      <c r="U24" s="23">
        <v>167</v>
      </c>
      <c r="V24" s="23">
        <v>149</v>
      </c>
      <c r="W24" s="23">
        <v>116</v>
      </c>
      <c r="X24" s="23">
        <v>82</v>
      </c>
      <c r="Y24" s="23">
        <v>49</v>
      </c>
      <c r="Z24" s="24">
        <f t="shared" si="0"/>
        <v>1652</v>
      </c>
      <c r="AA24" s="24">
        <f t="shared" si="1"/>
        <v>68.833333333333329</v>
      </c>
    </row>
    <row r="25" spans="1:27" ht="15" customHeight="1" x14ac:dyDescent="0.25">
      <c r="A25" s="22">
        <f t="shared" si="2"/>
        <v>45676</v>
      </c>
      <c r="B25" s="23">
        <v>35</v>
      </c>
      <c r="C25" s="23">
        <v>34</v>
      </c>
      <c r="D25" s="23">
        <v>64</v>
      </c>
      <c r="E25" s="23">
        <v>96</v>
      </c>
      <c r="F25" s="23">
        <v>127</v>
      </c>
      <c r="G25" s="23">
        <v>146</v>
      </c>
      <c r="H25" s="23">
        <v>147</v>
      </c>
      <c r="I25" s="23">
        <v>127</v>
      </c>
      <c r="J25" s="23">
        <v>86</v>
      </c>
      <c r="K25" s="23">
        <v>40</v>
      </c>
      <c r="L25" s="23">
        <v>-8</v>
      </c>
      <c r="M25" s="23">
        <v>-48</v>
      </c>
      <c r="N25" s="23">
        <v>-78</v>
      </c>
      <c r="O25" s="23">
        <v>-90</v>
      </c>
      <c r="P25" s="23">
        <v>-68</v>
      </c>
      <c r="Q25" s="23">
        <v>-2</v>
      </c>
      <c r="R25" s="23">
        <v>60</v>
      </c>
      <c r="S25" s="23">
        <v>108</v>
      </c>
      <c r="T25" s="23">
        <v>141</v>
      </c>
      <c r="U25" s="23">
        <v>159</v>
      </c>
      <c r="V25" s="23">
        <v>159</v>
      </c>
      <c r="W25" s="23">
        <v>131</v>
      </c>
      <c r="X25" s="23">
        <v>98</v>
      </c>
      <c r="Y25" s="23">
        <v>62</v>
      </c>
      <c r="Z25" s="24">
        <f t="shared" si="0"/>
        <v>1526</v>
      </c>
      <c r="AA25" s="24">
        <f t="shared" si="1"/>
        <v>63.583333333333336</v>
      </c>
    </row>
    <row r="26" spans="1:27" ht="15" customHeight="1" x14ac:dyDescent="0.25">
      <c r="A26" s="22">
        <f t="shared" si="2"/>
        <v>45677</v>
      </c>
      <c r="B26" s="23">
        <v>38</v>
      </c>
      <c r="C26" s="23">
        <v>22</v>
      </c>
      <c r="D26" s="23">
        <v>27</v>
      </c>
      <c r="E26" s="23">
        <v>56</v>
      </c>
      <c r="F26" s="23">
        <v>90</v>
      </c>
      <c r="G26" s="23">
        <v>117</v>
      </c>
      <c r="H26" s="23">
        <v>132</v>
      </c>
      <c r="I26" s="23">
        <v>130</v>
      </c>
      <c r="J26" s="23">
        <v>108</v>
      </c>
      <c r="K26" s="23">
        <v>71</v>
      </c>
      <c r="L26" s="23">
        <v>26</v>
      </c>
      <c r="M26" s="23">
        <v>-19</v>
      </c>
      <c r="N26" s="23">
        <v>-49</v>
      </c>
      <c r="O26" s="23">
        <v>-62</v>
      </c>
      <c r="P26" s="23">
        <v>-58</v>
      </c>
      <c r="Q26" s="23">
        <v>-4</v>
      </c>
      <c r="R26" s="23">
        <v>46</v>
      </c>
      <c r="S26" s="23">
        <v>90</v>
      </c>
      <c r="T26" s="23">
        <v>126</v>
      </c>
      <c r="U26" s="23">
        <v>147</v>
      </c>
      <c r="V26" s="23">
        <v>158</v>
      </c>
      <c r="W26" s="23">
        <v>142</v>
      </c>
      <c r="X26" s="23">
        <v>109</v>
      </c>
      <c r="Y26" s="23">
        <v>71</v>
      </c>
      <c r="Z26" s="24">
        <f t="shared" si="0"/>
        <v>1514</v>
      </c>
      <c r="AA26" s="24">
        <f t="shared" si="1"/>
        <v>63.083333333333336</v>
      </c>
    </row>
    <row r="27" spans="1:27" ht="15" customHeight="1" x14ac:dyDescent="0.25">
      <c r="A27" s="22">
        <f t="shared" si="2"/>
        <v>45678</v>
      </c>
      <c r="B27" s="23">
        <v>41</v>
      </c>
      <c r="C27" s="23">
        <v>20</v>
      </c>
      <c r="D27" s="23">
        <v>6</v>
      </c>
      <c r="E27" s="23">
        <v>8</v>
      </c>
      <c r="F27" s="23">
        <v>31</v>
      </c>
      <c r="G27" s="23">
        <v>61</v>
      </c>
      <c r="H27" s="23">
        <v>78</v>
      </c>
      <c r="I27" s="23">
        <v>93</v>
      </c>
      <c r="J27" s="23">
        <v>94</v>
      </c>
      <c r="K27" s="23">
        <v>81</v>
      </c>
      <c r="L27" s="23">
        <v>50</v>
      </c>
      <c r="M27" s="23">
        <v>16</v>
      </c>
      <c r="N27" s="23">
        <v>-15</v>
      </c>
      <c r="O27" s="23">
        <v>-36</v>
      </c>
      <c r="P27" s="23">
        <v>-38</v>
      </c>
      <c r="Q27" s="23">
        <v>-15</v>
      </c>
      <c r="R27" s="23">
        <v>30</v>
      </c>
      <c r="S27" s="23">
        <v>74</v>
      </c>
      <c r="T27" s="23">
        <v>110</v>
      </c>
      <c r="U27" s="23">
        <v>138</v>
      </c>
      <c r="V27" s="23">
        <v>150</v>
      </c>
      <c r="W27" s="23">
        <v>145</v>
      </c>
      <c r="X27" s="23">
        <v>123</v>
      </c>
      <c r="Y27" s="23">
        <v>85</v>
      </c>
      <c r="Z27" s="24">
        <f t="shared" si="0"/>
        <v>1330</v>
      </c>
      <c r="AA27" s="24">
        <f t="shared" si="1"/>
        <v>55.416666666666664</v>
      </c>
    </row>
    <row r="28" spans="1:27" ht="15" customHeight="1" x14ac:dyDescent="0.25">
      <c r="A28" s="22">
        <f t="shared" si="2"/>
        <v>45679</v>
      </c>
      <c r="B28" s="23">
        <v>41</v>
      </c>
      <c r="C28" s="23">
        <v>19</v>
      </c>
      <c r="D28" s="23">
        <v>-4</v>
      </c>
      <c r="E28" s="23">
        <v>-22</v>
      </c>
      <c r="F28" s="23">
        <v>-21</v>
      </c>
      <c r="G28" s="23">
        <v>5</v>
      </c>
      <c r="H28" s="23">
        <v>39</v>
      </c>
      <c r="I28" s="23">
        <v>61</v>
      </c>
      <c r="J28" s="23">
        <v>73</v>
      </c>
      <c r="K28" s="23">
        <v>82</v>
      </c>
      <c r="L28" s="23">
        <v>73</v>
      </c>
      <c r="M28" s="23">
        <v>59</v>
      </c>
      <c r="N28" s="23">
        <v>36</v>
      </c>
      <c r="O28" s="23">
        <v>21</v>
      </c>
      <c r="P28" s="23">
        <v>6</v>
      </c>
      <c r="Q28" s="23">
        <v>6</v>
      </c>
      <c r="R28" s="23">
        <v>33</v>
      </c>
      <c r="S28" s="23">
        <v>64</v>
      </c>
      <c r="T28" s="23">
        <v>96</v>
      </c>
      <c r="U28" s="23">
        <v>115</v>
      </c>
      <c r="V28" s="23">
        <v>134</v>
      </c>
      <c r="W28" s="23">
        <v>140</v>
      </c>
      <c r="X28" s="23">
        <v>128</v>
      </c>
      <c r="Y28" s="23">
        <v>97</v>
      </c>
      <c r="Z28" s="24">
        <f t="shared" si="0"/>
        <v>1281</v>
      </c>
      <c r="AA28" s="24">
        <f t="shared" si="1"/>
        <v>53.375</v>
      </c>
    </row>
    <row r="29" spans="1:27" ht="15" customHeight="1" x14ac:dyDescent="0.25">
      <c r="A29" s="22">
        <f t="shared" si="2"/>
        <v>45680</v>
      </c>
      <c r="B29" s="23">
        <v>59</v>
      </c>
      <c r="C29" s="23">
        <v>25</v>
      </c>
      <c r="D29" s="23">
        <v>-10</v>
      </c>
      <c r="E29" s="23">
        <v>-34</v>
      </c>
      <c r="F29" s="23">
        <v>-48</v>
      </c>
      <c r="G29" s="23">
        <v>-45</v>
      </c>
      <c r="H29" s="23">
        <v>-25</v>
      </c>
      <c r="I29" s="23">
        <v>3</v>
      </c>
      <c r="J29" s="23">
        <v>24</v>
      </c>
      <c r="K29" s="23">
        <v>44</v>
      </c>
      <c r="L29" s="23">
        <v>60</v>
      </c>
      <c r="M29" s="23">
        <v>64</v>
      </c>
      <c r="N29" s="23">
        <v>62</v>
      </c>
      <c r="O29" s="23">
        <v>52</v>
      </c>
      <c r="P29" s="23">
        <v>47</v>
      </c>
      <c r="Q29" s="23">
        <v>45</v>
      </c>
      <c r="R29" s="23">
        <v>49</v>
      </c>
      <c r="S29" s="23">
        <v>64</v>
      </c>
      <c r="T29" s="23">
        <v>82</v>
      </c>
      <c r="U29" s="23">
        <v>100</v>
      </c>
      <c r="V29" s="23">
        <v>113</v>
      </c>
      <c r="W29" s="23">
        <v>130</v>
      </c>
      <c r="X29" s="23">
        <v>125</v>
      </c>
      <c r="Y29" s="23">
        <v>104</v>
      </c>
      <c r="Z29" s="24">
        <f t="shared" si="0"/>
        <v>1090</v>
      </c>
      <c r="AA29" s="24">
        <f t="shared" si="1"/>
        <v>45.416666666666664</v>
      </c>
    </row>
    <row r="30" spans="1:27" ht="15" customHeight="1" x14ac:dyDescent="0.25">
      <c r="A30" s="22">
        <f t="shared" si="2"/>
        <v>45681</v>
      </c>
      <c r="B30" s="23">
        <v>72</v>
      </c>
      <c r="C30" s="23">
        <v>43</v>
      </c>
      <c r="D30" s="23">
        <v>12</v>
      </c>
      <c r="E30" s="23">
        <v>-23</v>
      </c>
      <c r="F30" s="23">
        <v>-51</v>
      </c>
      <c r="G30" s="23">
        <v>-69</v>
      </c>
      <c r="H30" s="23">
        <v>-68</v>
      </c>
      <c r="I30" s="23">
        <v>-53</v>
      </c>
      <c r="J30" s="23">
        <v>-26</v>
      </c>
      <c r="K30" s="23">
        <v>8</v>
      </c>
      <c r="L30" s="23">
        <v>38</v>
      </c>
      <c r="M30" s="23">
        <v>63</v>
      </c>
      <c r="N30" s="23">
        <v>80</v>
      </c>
      <c r="O30" s="23">
        <v>89</v>
      </c>
      <c r="P30" s="23">
        <v>90</v>
      </c>
      <c r="Q30" s="23">
        <v>87</v>
      </c>
      <c r="R30" s="23">
        <v>81</v>
      </c>
      <c r="S30" s="23">
        <v>82</v>
      </c>
      <c r="T30" s="23">
        <v>86</v>
      </c>
      <c r="U30" s="23">
        <v>100</v>
      </c>
      <c r="V30" s="23">
        <v>111</v>
      </c>
      <c r="W30" s="23">
        <v>120</v>
      </c>
      <c r="X30" s="23">
        <v>124</v>
      </c>
      <c r="Y30" s="23">
        <v>115</v>
      </c>
      <c r="Z30" s="24">
        <f t="shared" si="0"/>
        <v>1111</v>
      </c>
      <c r="AA30" s="24">
        <f t="shared" si="1"/>
        <v>46.291666666666664</v>
      </c>
    </row>
    <row r="31" spans="1:27" ht="15" customHeight="1" x14ac:dyDescent="0.25">
      <c r="A31" s="22">
        <f t="shared" si="2"/>
        <v>45682</v>
      </c>
      <c r="B31" s="23">
        <v>98</v>
      </c>
      <c r="C31" s="23">
        <v>66</v>
      </c>
      <c r="D31" s="23">
        <v>32</v>
      </c>
      <c r="E31" s="23">
        <v>-2</v>
      </c>
      <c r="F31" s="23">
        <v>-36</v>
      </c>
      <c r="G31" s="23">
        <v>-65</v>
      </c>
      <c r="H31" s="23">
        <v>-91</v>
      </c>
      <c r="I31" s="23">
        <v>-100</v>
      </c>
      <c r="J31" s="23">
        <v>-79</v>
      </c>
      <c r="K31" s="23">
        <v>-38</v>
      </c>
      <c r="L31" s="23">
        <v>5</v>
      </c>
      <c r="M31" s="23">
        <v>45</v>
      </c>
      <c r="N31" s="23">
        <v>75</v>
      </c>
      <c r="O31" s="23">
        <v>103</v>
      </c>
      <c r="P31" s="23">
        <v>115</v>
      </c>
      <c r="Q31" s="23">
        <v>114</v>
      </c>
      <c r="R31" s="23">
        <v>106</v>
      </c>
      <c r="S31" s="23">
        <v>98</v>
      </c>
      <c r="T31" s="23">
        <v>97</v>
      </c>
      <c r="U31" s="23">
        <v>94</v>
      </c>
      <c r="V31" s="23">
        <v>104</v>
      </c>
      <c r="W31" s="23">
        <v>111</v>
      </c>
      <c r="X31" s="23">
        <v>118</v>
      </c>
      <c r="Y31" s="23">
        <v>112</v>
      </c>
      <c r="Z31" s="24">
        <f t="shared" si="0"/>
        <v>1082</v>
      </c>
      <c r="AA31" s="24">
        <f t="shared" si="1"/>
        <v>45.083333333333336</v>
      </c>
    </row>
    <row r="32" spans="1:27" ht="15" customHeight="1" x14ac:dyDescent="0.25">
      <c r="A32" s="22">
        <f t="shared" si="2"/>
        <v>45683</v>
      </c>
      <c r="B32" s="23">
        <v>108</v>
      </c>
      <c r="C32" s="23">
        <v>89</v>
      </c>
      <c r="D32" s="23">
        <v>57</v>
      </c>
      <c r="E32" s="23">
        <v>20</v>
      </c>
      <c r="F32" s="23">
        <v>-14</v>
      </c>
      <c r="G32" s="23">
        <v>-49</v>
      </c>
      <c r="H32" s="23">
        <v>-80</v>
      </c>
      <c r="I32" s="23">
        <v>-100</v>
      </c>
      <c r="J32" s="23">
        <v>-107</v>
      </c>
      <c r="K32" s="23">
        <v>-81</v>
      </c>
      <c r="L32" s="23">
        <v>-27</v>
      </c>
      <c r="M32" s="23">
        <v>19</v>
      </c>
      <c r="N32" s="23">
        <v>66</v>
      </c>
      <c r="O32" s="23">
        <v>101</v>
      </c>
      <c r="P32" s="23">
        <v>127</v>
      </c>
      <c r="Q32" s="23">
        <v>138</v>
      </c>
      <c r="R32" s="23">
        <v>140</v>
      </c>
      <c r="S32" s="23">
        <v>131</v>
      </c>
      <c r="T32" s="23">
        <v>119</v>
      </c>
      <c r="U32" s="23">
        <v>108</v>
      </c>
      <c r="V32" s="23">
        <v>105</v>
      </c>
      <c r="W32" s="23">
        <v>120</v>
      </c>
      <c r="X32" s="23">
        <v>128</v>
      </c>
      <c r="Y32" s="23">
        <v>135</v>
      </c>
      <c r="Z32" s="24">
        <f t="shared" si="0"/>
        <v>1253</v>
      </c>
      <c r="AA32" s="24">
        <f t="shared" si="1"/>
        <v>52.208333333333336</v>
      </c>
    </row>
    <row r="33" spans="1:27" ht="15" customHeight="1" x14ac:dyDescent="0.25">
      <c r="A33" s="22">
        <f t="shared" si="2"/>
        <v>45684</v>
      </c>
      <c r="B33" s="23">
        <v>135</v>
      </c>
      <c r="C33" s="23">
        <v>124</v>
      </c>
      <c r="D33" s="23">
        <v>100</v>
      </c>
      <c r="E33" s="23">
        <v>62</v>
      </c>
      <c r="F33" s="23">
        <v>20</v>
      </c>
      <c r="G33" s="23">
        <v>-18</v>
      </c>
      <c r="H33" s="23">
        <v>-53</v>
      </c>
      <c r="I33" s="23">
        <v>-82</v>
      </c>
      <c r="J33" s="23">
        <v>-101</v>
      </c>
      <c r="K33" s="23">
        <v>-102</v>
      </c>
      <c r="L33" s="23">
        <v>-67</v>
      </c>
      <c r="M33" s="23">
        <v>-13</v>
      </c>
      <c r="N33" s="23">
        <v>42</v>
      </c>
      <c r="O33" s="23">
        <v>88</v>
      </c>
      <c r="P33" s="23">
        <v>128</v>
      </c>
      <c r="Q33" s="23">
        <v>149</v>
      </c>
      <c r="R33" s="23">
        <v>158</v>
      </c>
      <c r="S33" s="23">
        <v>154</v>
      </c>
      <c r="T33" s="23">
        <v>141</v>
      </c>
      <c r="U33" s="23">
        <v>130</v>
      </c>
      <c r="V33" s="23">
        <v>125</v>
      </c>
      <c r="W33" s="23">
        <v>128</v>
      </c>
      <c r="X33" s="23">
        <v>143</v>
      </c>
      <c r="Y33" s="23">
        <v>157</v>
      </c>
      <c r="Z33" s="24">
        <f t="shared" si="0"/>
        <v>1548</v>
      </c>
      <c r="AA33" s="24">
        <f t="shared" si="1"/>
        <v>64.5</v>
      </c>
    </row>
    <row r="34" spans="1:27" ht="15" customHeight="1" x14ac:dyDescent="0.25">
      <c r="A34" s="22">
        <f t="shared" si="2"/>
        <v>45685</v>
      </c>
      <c r="B34" s="23">
        <v>168</v>
      </c>
      <c r="C34" s="23">
        <v>168</v>
      </c>
      <c r="D34" s="23">
        <v>154</v>
      </c>
      <c r="E34" s="23">
        <v>119</v>
      </c>
      <c r="F34" s="23">
        <v>73</v>
      </c>
      <c r="G34" s="23">
        <v>23</v>
      </c>
      <c r="H34" s="23">
        <v>-20</v>
      </c>
      <c r="I34" s="23">
        <v>-58</v>
      </c>
      <c r="J34" s="23">
        <v>-82</v>
      </c>
      <c r="K34" s="23">
        <v>-97</v>
      </c>
      <c r="L34" s="23">
        <v>-89</v>
      </c>
      <c r="M34" s="23">
        <v>-39</v>
      </c>
      <c r="N34" s="23">
        <v>25</v>
      </c>
      <c r="O34" s="23">
        <v>80</v>
      </c>
      <c r="P34" s="23">
        <v>123</v>
      </c>
      <c r="Q34" s="23">
        <v>152</v>
      </c>
      <c r="R34" s="23">
        <v>168</v>
      </c>
      <c r="S34" s="23">
        <v>164</v>
      </c>
      <c r="T34" s="23">
        <v>146</v>
      </c>
      <c r="U34" s="23">
        <v>120</v>
      </c>
      <c r="V34" s="23">
        <v>107</v>
      </c>
      <c r="W34" s="23">
        <v>105</v>
      </c>
      <c r="X34" s="23">
        <v>116</v>
      </c>
      <c r="Y34" s="23">
        <v>140</v>
      </c>
      <c r="Z34" s="24">
        <f t="shared" si="0"/>
        <v>1766</v>
      </c>
      <c r="AA34" s="24">
        <f t="shared" si="1"/>
        <v>73.583333333333329</v>
      </c>
    </row>
    <row r="35" spans="1:27" ht="15" customHeight="1" x14ac:dyDescent="0.25">
      <c r="A35" s="22">
        <f t="shared" si="2"/>
        <v>45686</v>
      </c>
      <c r="B35" s="23">
        <v>162</v>
      </c>
      <c r="C35" s="23">
        <v>175</v>
      </c>
      <c r="D35" s="23">
        <v>171</v>
      </c>
      <c r="E35" s="23">
        <v>145</v>
      </c>
      <c r="F35" s="23">
        <v>100</v>
      </c>
      <c r="G35" s="23">
        <v>48</v>
      </c>
      <c r="H35" s="23">
        <v>-5</v>
      </c>
      <c r="I35" s="23">
        <v>-52</v>
      </c>
      <c r="J35" s="23">
        <v>-90</v>
      </c>
      <c r="K35" s="23">
        <v>-116</v>
      </c>
      <c r="L35" s="23">
        <v>-127</v>
      </c>
      <c r="M35" s="23">
        <v>-104</v>
      </c>
      <c r="N35" s="23">
        <v>-29</v>
      </c>
      <c r="O35" s="23">
        <v>40</v>
      </c>
      <c r="P35" s="23">
        <v>90</v>
      </c>
      <c r="Q35" s="23">
        <v>131</v>
      </c>
      <c r="R35" s="23">
        <v>158</v>
      </c>
      <c r="S35" s="23">
        <v>163</v>
      </c>
      <c r="T35" s="23">
        <v>147</v>
      </c>
      <c r="U35" s="23">
        <v>116</v>
      </c>
      <c r="V35" s="23">
        <v>88</v>
      </c>
      <c r="W35" s="23">
        <v>71</v>
      </c>
      <c r="X35" s="23">
        <v>77</v>
      </c>
      <c r="Y35" s="23">
        <v>104</v>
      </c>
      <c r="Z35" s="24">
        <f>SUM(B35:Y35)</f>
        <v>1463</v>
      </c>
      <c r="AA35" s="24">
        <f>AVERAGE(B35:Y35)</f>
        <v>60.958333333333336</v>
      </c>
    </row>
    <row r="36" spans="1:27" ht="15" customHeight="1" x14ac:dyDescent="0.25">
      <c r="A36" s="22">
        <f t="shared" si="2"/>
        <v>45687</v>
      </c>
      <c r="B36" s="23">
        <v>133</v>
      </c>
      <c r="C36" s="23">
        <v>158</v>
      </c>
      <c r="D36" s="23">
        <v>172</v>
      </c>
      <c r="E36" s="23">
        <v>171</v>
      </c>
      <c r="F36" s="23">
        <v>140</v>
      </c>
      <c r="G36" s="23">
        <v>90</v>
      </c>
      <c r="H36" s="23">
        <v>31</v>
      </c>
      <c r="I36" s="23">
        <v>-28</v>
      </c>
      <c r="J36" s="23">
        <v>-72</v>
      </c>
      <c r="K36" s="23">
        <v>-105</v>
      </c>
      <c r="L36" s="23">
        <v>-131</v>
      </c>
      <c r="M36" s="23">
        <v>-138</v>
      </c>
      <c r="N36" s="23">
        <v>-95</v>
      </c>
      <c r="O36" s="23">
        <v>-7</v>
      </c>
      <c r="P36" s="23">
        <v>58</v>
      </c>
      <c r="Q36" s="23">
        <v>107</v>
      </c>
      <c r="R36" s="23">
        <v>145</v>
      </c>
      <c r="S36" s="23">
        <v>161</v>
      </c>
      <c r="T36" s="23">
        <v>153</v>
      </c>
      <c r="U36" s="23">
        <v>123</v>
      </c>
      <c r="V36" s="23">
        <v>89</v>
      </c>
      <c r="W36" s="23">
        <v>60</v>
      </c>
      <c r="X36" s="23">
        <v>47</v>
      </c>
      <c r="Y36" s="23">
        <v>60</v>
      </c>
      <c r="Z36" s="24">
        <f>SUM(B36:Y36)</f>
        <v>1322</v>
      </c>
      <c r="AA36" s="24">
        <f>AVERAGE(B36:Y36)</f>
        <v>55.083333333333336</v>
      </c>
    </row>
    <row r="37" spans="1:27" ht="15" customHeight="1" x14ac:dyDescent="0.25">
      <c r="A37" s="22">
        <f t="shared" si="2"/>
        <v>45688</v>
      </c>
      <c r="B37" s="25">
        <v>93</v>
      </c>
      <c r="C37" s="25">
        <v>137</v>
      </c>
      <c r="D37" s="25">
        <v>164</v>
      </c>
      <c r="E37" s="25">
        <v>178</v>
      </c>
      <c r="F37" s="25">
        <v>172</v>
      </c>
      <c r="G37" s="25">
        <v>133</v>
      </c>
      <c r="H37" s="25">
        <v>74</v>
      </c>
      <c r="I37" s="25">
        <v>17</v>
      </c>
      <c r="J37" s="25">
        <v>-37</v>
      </c>
      <c r="K37" s="25">
        <v>-82</v>
      </c>
      <c r="L37" s="25">
        <v>-115</v>
      </c>
      <c r="M37" s="25">
        <v>-137</v>
      </c>
      <c r="N37" s="25">
        <v>-140</v>
      </c>
      <c r="O37" s="25">
        <v>-100</v>
      </c>
      <c r="P37" s="25">
        <v>-8</v>
      </c>
      <c r="Q37" s="25">
        <v>67</v>
      </c>
      <c r="R37" s="25">
        <v>124</v>
      </c>
      <c r="S37" s="25">
        <v>157</v>
      </c>
      <c r="T37" s="25">
        <v>163</v>
      </c>
      <c r="U37" s="25">
        <v>156</v>
      </c>
      <c r="V37" s="25">
        <v>108</v>
      </c>
      <c r="W37" s="25">
        <v>57</v>
      </c>
      <c r="X37" s="25">
        <v>27</v>
      </c>
      <c r="Y37" s="25">
        <v>12</v>
      </c>
      <c r="Z37" s="24">
        <f>SUM(B37:Y37)</f>
        <v>1220</v>
      </c>
      <c r="AA37" s="24">
        <f>AVERAGE(B37:Y37)</f>
        <v>50.833333333333336</v>
      </c>
    </row>
    <row r="38" spans="1:27" ht="15" customHeight="1" x14ac:dyDescent="0.25">
      <c r="A38" s="26">
        <v>45689</v>
      </c>
      <c r="B38" s="20">
        <v>34</v>
      </c>
      <c r="C38" s="20">
        <v>83</v>
      </c>
      <c r="D38" s="20">
        <v>128</v>
      </c>
      <c r="E38" s="20">
        <v>164</v>
      </c>
      <c r="F38" s="20">
        <v>183</v>
      </c>
      <c r="G38" s="20">
        <v>169</v>
      </c>
      <c r="H38" s="20">
        <v>121</v>
      </c>
      <c r="I38" s="20">
        <v>69</v>
      </c>
      <c r="J38" s="20">
        <v>12</v>
      </c>
      <c r="K38" s="20">
        <v>-41</v>
      </c>
      <c r="L38" s="20">
        <v>-82</v>
      </c>
      <c r="M38" s="20">
        <v>-112</v>
      </c>
      <c r="N38" s="20">
        <v>-132</v>
      </c>
      <c r="O38" s="20">
        <v>-121</v>
      </c>
      <c r="P38" s="20">
        <v>-23</v>
      </c>
      <c r="Q38" s="20">
        <v>56</v>
      </c>
      <c r="R38" s="20">
        <v>107</v>
      </c>
      <c r="S38" s="20">
        <v>145</v>
      </c>
      <c r="T38" s="20">
        <v>177</v>
      </c>
      <c r="U38" s="20">
        <v>155</v>
      </c>
      <c r="V38" s="20">
        <v>120</v>
      </c>
      <c r="W38" s="20">
        <v>75</v>
      </c>
      <c r="X38" s="20">
        <v>35</v>
      </c>
      <c r="Y38" s="20">
        <v>3</v>
      </c>
      <c r="Z38" s="27">
        <f t="shared" si="0"/>
        <v>1325</v>
      </c>
      <c r="AA38" s="27">
        <f t="shared" si="1"/>
        <v>55.208333333333336</v>
      </c>
    </row>
    <row r="39" spans="1:27" ht="15" customHeight="1" x14ac:dyDescent="0.25">
      <c r="A39" s="26">
        <v>45690</v>
      </c>
      <c r="B39" s="23">
        <v>-7</v>
      </c>
      <c r="C39" s="23">
        <v>26</v>
      </c>
      <c r="D39" s="23">
        <v>77</v>
      </c>
      <c r="E39" s="23">
        <v>129</v>
      </c>
      <c r="F39" s="23">
        <v>164</v>
      </c>
      <c r="G39" s="23">
        <v>179</v>
      </c>
      <c r="H39" s="23">
        <v>163</v>
      </c>
      <c r="I39" s="23">
        <v>114</v>
      </c>
      <c r="J39" s="23">
        <v>58</v>
      </c>
      <c r="K39" s="23">
        <v>4</v>
      </c>
      <c r="L39" s="23">
        <v>-44</v>
      </c>
      <c r="M39" s="23">
        <v>-81</v>
      </c>
      <c r="N39" s="23">
        <v>-108</v>
      </c>
      <c r="O39" s="23">
        <v>-117</v>
      </c>
      <c r="P39" s="23">
        <v>-75</v>
      </c>
      <c r="Q39" s="23">
        <v>13</v>
      </c>
      <c r="R39" s="23">
        <v>76</v>
      </c>
      <c r="S39" s="23">
        <v>124</v>
      </c>
      <c r="T39" s="23">
        <v>157</v>
      </c>
      <c r="U39" s="23">
        <v>162</v>
      </c>
      <c r="V39" s="23">
        <v>135</v>
      </c>
      <c r="W39" s="23">
        <v>90</v>
      </c>
      <c r="X39" s="23">
        <v>43</v>
      </c>
      <c r="Y39" s="23">
        <v>4</v>
      </c>
      <c r="Z39" s="24">
        <f t="shared" si="0"/>
        <v>1286</v>
      </c>
      <c r="AA39" s="24">
        <f t="shared" si="1"/>
        <v>53.583333333333336</v>
      </c>
    </row>
    <row r="40" spans="1:27" ht="15" customHeight="1" x14ac:dyDescent="0.25">
      <c r="A40" s="26">
        <v>45691</v>
      </c>
      <c r="B40" s="23">
        <v>-25</v>
      </c>
      <c r="C40" s="23">
        <v>-33</v>
      </c>
      <c r="D40" s="23">
        <v>6</v>
      </c>
      <c r="E40" s="23">
        <v>63</v>
      </c>
      <c r="F40" s="23">
        <v>114</v>
      </c>
      <c r="G40" s="23">
        <v>149</v>
      </c>
      <c r="H40" s="23">
        <v>165</v>
      </c>
      <c r="I40" s="23">
        <v>147</v>
      </c>
      <c r="J40" s="23">
        <v>97</v>
      </c>
      <c r="K40" s="23">
        <v>43</v>
      </c>
      <c r="L40" s="23">
        <v>-8</v>
      </c>
      <c r="M40" s="23">
        <v>-48</v>
      </c>
      <c r="N40" s="23">
        <v>-79</v>
      </c>
      <c r="O40" s="23">
        <v>-96</v>
      </c>
      <c r="P40" s="23">
        <v>-86</v>
      </c>
      <c r="Q40" s="23">
        <v>-4</v>
      </c>
      <c r="R40" s="23">
        <v>68</v>
      </c>
      <c r="S40" s="23">
        <v>117</v>
      </c>
      <c r="T40" s="23">
        <v>150</v>
      </c>
      <c r="U40" s="23">
        <v>172</v>
      </c>
      <c r="V40" s="23">
        <v>165</v>
      </c>
      <c r="W40" s="23">
        <v>126</v>
      </c>
      <c r="X40" s="23">
        <v>75</v>
      </c>
      <c r="Y40" s="23">
        <v>32</v>
      </c>
      <c r="Z40" s="24">
        <f t="shared" si="0"/>
        <v>1310</v>
      </c>
      <c r="AA40" s="24">
        <f t="shared" si="1"/>
        <v>54.583333333333336</v>
      </c>
    </row>
    <row r="41" spans="1:27" ht="15" customHeight="1" x14ac:dyDescent="0.25">
      <c r="A41" s="26">
        <v>45692</v>
      </c>
      <c r="B41" s="23">
        <v>0</v>
      </c>
      <c r="C41" s="23">
        <v>-25</v>
      </c>
      <c r="D41" s="23">
        <v>-27</v>
      </c>
      <c r="E41" s="23">
        <v>10</v>
      </c>
      <c r="F41" s="23">
        <v>60</v>
      </c>
      <c r="G41" s="23">
        <v>104</v>
      </c>
      <c r="H41" s="23">
        <v>138</v>
      </c>
      <c r="I41" s="23">
        <v>151</v>
      </c>
      <c r="J41" s="23">
        <v>141</v>
      </c>
      <c r="K41" s="23">
        <v>98</v>
      </c>
      <c r="L41" s="23">
        <v>50</v>
      </c>
      <c r="M41" s="23">
        <v>7</v>
      </c>
      <c r="N41" s="23">
        <v>-30</v>
      </c>
      <c r="O41" s="23">
        <v>-55</v>
      </c>
      <c r="P41" s="23">
        <v>-56</v>
      </c>
      <c r="Q41" s="23">
        <v>-2</v>
      </c>
      <c r="R41" s="23">
        <v>61</v>
      </c>
      <c r="S41" s="23">
        <v>100</v>
      </c>
      <c r="T41" s="23">
        <v>153</v>
      </c>
      <c r="U41" s="23">
        <v>180</v>
      </c>
      <c r="V41" s="23">
        <v>183</v>
      </c>
      <c r="W41" s="23">
        <v>158</v>
      </c>
      <c r="X41" s="23">
        <v>115</v>
      </c>
      <c r="Y41" s="23">
        <v>66</v>
      </c>
      <c r="Z41" s="24">
        <f t="shared" si="0"/>
        <v>1580</v>
      </c>
      <c r="AA41" s="24">
        <f t="shared" si="1"/>
        <v>65.833333333333329</v>
      </c>
    </row>
    <row r="42" spans="1:27" ht="15" customHeight="1" x14ac:dyDescent="0.25">
      <c r="A42" s="26">
        <v>45693</v>
      </c>
      <c r="B42" s="23">
        <v>25</v>
      </c>
      <c r="C42" s="23">
        <v>-7</v>
      </c>
      <c r="D42" s="23">
        <v>-29</v>
      </c>
      <c r="E42" s="23">
        <v>-33</v>
      </c>
      <c r="F42" s="23">
        <v>-6</v>
      </c>
      <c r="G42" s="23">
        <v>37</v>
      </c>
      <c r="H42" s="23">
        <v>77</v>
      </c>
      <c r="I42" s="23">
        <v>107</v>
      </c>
      <c r="J42" s="23">
        <v>121</v>
      </c>
      <c r="K42" s="23">
        <v>119</v>
      </c>
      <c r="L42" s="23">
        <v>91</v>
      </c>
      <c r="M42" s="23">
        <v>57</v>
      </c>
      <c r="N42" s="23">
        <v>26</v>
      </c>
      <c r="O42" s="23">
        <v>6</v>
      </c>
      <c r="P42" s="23">
        <v>-1</v>
      </c>
      <c r="Q42" s="23">
        <v>17</v>
      </c>
      <c r="R42" s="23">
        <v>59</v>
      </c>
      <c r="S42" s="23">
        <v>100</v>
      </c>
      <c r="T42" s="23">
        <v>133</v>
      </c>
      <c r="U42" s="23">
        <v>156</v>
      </c>
      <c r="V42" s="23">
        <v>167</v>
      </c>
      <c r="W42" s="23">
        <v>157</v>
      </c>
      <c r="X42" s="23">
        <v>122</v>
      </c>
      <c r="Y42" s="23">
        <v>71</v>
      </c>
      <c r="Z42" s="24">
        <f t="shared" si="0"/>
        <v>1572</v>
      </c>
      <c r="AA42" s="24">
        <f t="shared" si="1"/>
        <v>65.5</v>
      </c>
    </row>
    <row r="43" spans="1:27" ht="15" customHeight="1" x14ac:dyDescent="0.25">
      <c r="A43" s="26">
        <v>45694</v>
      </c>
      <c r="B43" s="23">
        <v>26</v>
      </c>
      <c r="C43" s="23">
        <v>-14</v>
      </c>
      <c r="D43" s="23">
        <v>-44</v>
      </c>
      <c r="E43" s="23">
        <v>-67</v>
      </c>
      <c r="F43" s="23">
        <v>-70</v>
      </c>
      <c r="G43" s="23">
        <v>-43</v>
      </c>
      <c r="H43" s="23">
        <v>-2</v>
      </c>
      <c r="I43" s="23">
        <v>37</v>
      </c>
      <c r="J43" s="23">
        <v>64</v>
      </c>
      <c r="K43" s="23">
        <v>84</v>
      </c>
      <c r="L43" s="23">
        <v>94</v>
      </c>
      <c r="M43" s="23">
        <v>90</v>
      </c>
      <c r="N43" s="23">
        <v>73</v>
      </c>
      <c r="O43" s="23">
        <v>59</v>
      </c>
      <c r="P43" s="23">
        <v>54</v>
      </c>
      <c r="Q43" s="23">
        <v>50</v>
      </c>
      <c r="R43" s="23">
        <v>63</v>
      </c>
      <c r="S43" s="23">
        <v>84</v>
      </c>
      <c r="T43" s="23">
        <v>110</v>
      </c>
      <c r="U43" s="23">
        <v>130</v>
      </c>
      <c r="V43" s="23">
        <v>146</v>
      </c>
      <c r="W43" s="23">
        <v>148</v>
      </c>
      <c r="X43" s="23">
        <v>128</v>
      </c>
      <c r="Y43" s="23">
        <v>96</v>
      </c>
      <c r="Z43" s="24">
        <f t="shared" si="0"/>
        <v>1296</v>
      </c>
      <c r="AA43" s="24">
        <f t="shared" si="1"/>
        <v>54</v>
      </c>
    </row>
    <row r="44" spans="1:27" ht="15" customHeight="1" x14ac:dyDescent="0.25">
      <c r="A44" s="26">
        <v>45695</v>
      </c>
      <c r="B44" s="23">
        <v>56</v>
      </c>
      <c r="C44" s="23">
        <v>17</v>
      </c>
      <c r="D44" s="23">
        <v>-24</v>
      </c>
      <c r="E44" s="23">
        <v>-58</v>
      </c>
      <c r="F44" s="23">
        <v>-84</v>
      </c>
      <c r="G44" s="23">
        <v>-97</v>
      </c>
      <c r="H44" s="23">
        <v>-83</v>
      </c>
      <c r="I44" s="23">
        <v>-38</v>
      </c>
      <c r="J44" s="23">
        <v>4</v>
      </c>
      <c r="K44" s="23">
        <v>40</v>
      </c>
      <c r="L44" s="23">
        <v>70</v>
      </c>
      <c r="M44" s="23">
        <v>93</v>
      </c>
      <c r="N44" s="23">
        <v>104</v>
      </c>
      <c r="O44" s="23">
        <v>104</v>
      </c>
      <c r="P44" s="23">
        <v>96</v>
      </c>
      <c r="Q44" s="23">
        <v>88</v>
      </c>
      <c r="R44" s="23">
        <v>84</v>
      </c>
      <c r="S44" s="23">
        <v>90</v>
      </c>
      <c r="T44" s="23">
        <v>104</v>
      </c>
      <c r="U44" s="23">
        <v>116</v>
      </c>
      <c r="V44" s="23">
        <v>128</v>
      </c>
      <c r="W44" s="23">
        <v>139</v>
      </c>
      <c r="X44" s="23">
        <v>134</v>
      </c>
      <c r="Y44" s="23">
        <v>121</v>
      </c>
      <c r="Z44" s="24">
        <f t="shared" si="0"/>
        <v>1204</v>
      </c>
      <c r="AA44" s="24">
        <f t="shared" si="1"/>
        <v>50.166666666666664</v>
      </c>
    </row>
    <row r="45" spans="1:27" ht="15" customHeight="1" x14ac:dyDescent="0.25">
      <c r="A45" s="26">
        <v>45696</v>
      </c>
      <c r="B45" s="23">
        <v>88</v>
      </c>
      <c r="C45" s="23">
        <v>54</v>
      </c>
      <c r="D45" s="23">
        <v>15</v>
      </c>
      <c r="E45" s="23">
        <v>-25</v>
      </c>
      <c r="F45" s="23">
        <v>-64</v>
      </c>
      <c r="G45" s="23">
        <v>-93</v>
      </c>
      <c r="H45" s="23">
        <v>-112</v>
      </c>
      <c r="I45" s="23">
        <v>-114</v>
      </c>
      <c r="J45" s="23">
        <v>-83</v>
      </c>
      <c r="K45" s="23">
        <v>-28</v>
      </c>
      <c r="L45" s="23">
        <v>18</v>
      </c>
      <c r="M45" s="23">
        <v>57</v>
      </c>
      <c r="N45" s="23">
        <v>96</v>
      </c>
      <c r="O45" s="23">
        <v>125</v>
      </c>
      <c r="P45" s="23">
        <v>137</v>
      </c>
      <c r="Q45" s="23">
        <v>140</v>
      </c>
      <c r="R45" s="23">
        <v>132</v>
      </c>
      <c r="S45" s="23">
        <v>119</v>
      </c>
      <c r="T45" s="23">
        <v>115</v>
      </c>
      <c r="U45" s="23">
        <v>120</v>
      </c>
      <c r="V45" s="23">
        <v>132</v>
      </c>
      <c r="W45" s="23">
        <v>139</v>
      </c>
      <c r="X45" s="23">
        <v>142</v>
      </c>
      <c r="Y45" s="23">
        <v>140</v>
      </c>
      <c r="Z45" s="24">
        <f t="shared" si="0"/>
        <v>1250</v>
      </c>
      <c r="AA45" s="24">
        <f t="shared" si="1"/>
        <v>52.083333333333336</v>
      </c>
    </row>
    <row r="46" spans="1:27" ht="15" customHeight="1" x14ac:dyDescent="0.25">
      <c r="A46" s="26">
        <v>45697</v>
      </c>
      <c r="B46" s="23">
        <v>125</v>
      </c>
      <c r="C46" s="23">
        <v>96</v>
      </c>
      <c r="D46" s="23">
        <v>57</v>
      </c>
      <c r="E46" s="23">
        <v>15</v>
      </c>
      <c r="F46" s="23">
        <v>-29</v>
      </c>
      <c r="G46" s="23">
        <v>-69</v>
      </c>
      <c r="H46" s="23">
        <v>-101</v>
      </c>
      <c r="I46" s="23">
        <v>-122</v>
      </c>
      <c r="J46" s="23">
        <v>-126</v>
      </c>
      <c r="K46" s="23">
        <v>-93</v>
      </c>
      <c r="L46" s="23">
        <v>-26</v>
      </c>
      <c r="M46" s="23">
        <v>37</v>
      </c>
      <c r="N46" s="23">
        <v>87</v>
      </c>
      <c r="O46" s="23">
        <v>127</v>
      </c>
      <c r="P46" s="23">
        <v>150</v>
      </c>
      <c r="Q46" s="23">
        <v>154</v>
      </c>
      <c r="R46" s="23">
        <v>146</v>
      </c>
      <c r="S46" s="23">
        <v>129</v>
      </c>
      <c r="T46" s="23">
        <v>113</v>
      </c>
      <c r="U46" s="23">
        <v>104</v>
      </c>
      <c r="V46" s="23">
        <v>110</v>
      </c>
      <c r="W46" s="23">
        <v>119</v>
      </c>
      <c r="X46" s="23">
        <v>134</v>
      </c>
      <c r="Y46" s="23">
        <v>149</v>
      </c>
      <c r="Z46" s="24">
        <f t="shared" si="0"/>
        <v>1286</v>
      </c>
      <c r="AA46" s="24">
        <f t="shared" si="1"/>
        <v>53.583333333333336</v>
      </c>
    </row>
    <row r="47" spans="1:27" ht="15" customHeight="1" x14ac:dyDescent="0.25">
      <c r="A47" s="26">
        <v>45698</v>
      </c>
      <c r="B47" s="23">
        <v>147</v>
      </c>
      <c r="C47" s="23">
        <v>134</v>
      </c>
      <c r="D47" s="23">
        <v>102</v>
      </c>
      <c r="E47" s="23">
        <v>59</v>
      </c>
      <c r="F47" s="23">
        <v>12</v>
      </c>
      <c r="G47" s="23">
        <v>-31</v>
      </c>
      <c r="H47" s="23">
        <v>-70</v>
      </c>
      <c r="I47" s="23">
        <v>-100</v>
      </c>
      <c r="J47" s="23">
        <v>-122</v>
      </c>
      <c r="K47" s="23">
        <v>-127</v>
      </c>
      <c r="L47" s="23">
        <v>-88</v>
      </c>
      <c r="M47" s="23">
        <v>-14</v>
      </c>
      <c r="N47" s="23">
        <v>45</v>
      </c>
      <c r="O47" s="23">
        <v>95</v>
      </c>
      <c r="P47" s="23">
        <v>130</v>
      </c>
      <c r="Q47" s="23">
        <v>152</v>
      </c>
      <c r="R47" s="23">
        <v>154</v>
      </c>
      <c r="S47" s="23">
        <v>140</v>
      </c>
      <c r="T47" s="23">
        <v>119</v>
      </c>
      <c r="U47" s="23">
        <v>97</v>
      </c>
      <c r="V47" s="23">
        <v>89</v>
      </c>
      <c r="W47" s="23">
        <v>93</v>
      </c>
      <c r="X47" s="23">
        <v>108</v>
      </c>
      <c r="Y47" s="23">
        <v>126</v>
      </c>
      <c r="Z47" s="24">
        <f t="shared" si="0"/>
        <v>1250</v>
      </c>
      <c r="AA47" s="24">
        <f t="shared" si="1"/>
        <v>52.083333333333336</v>
      </c>
    </row>
    <row r="48" spans="1:27" ht="15" customHeight="1" x14ac:dyDescent="0.25">
      <c r="A48" s="26">
        <v>45699</v>
      </c>
      <c r="B48" s="23">
        <v>139</v>
      </c>
      <c r="C48" s="23">
        <v>145</v>
      </c>
      <c r="D48" s="23">
        <v>130</v>
      </c>
      <c r="E48" s="23">
        <v>96</v>
      </c>
      <c r="F48" s="23">
        <v>55</v>
      </c>
      <c r="G48" s="23">
        <v>5</v>
      </c>
      <c r="H48" s="23">
        <v>-42</v>
      </c>
      <c r="I48" s="23">
        <v>-83</v>
      </c>
      <c r="J48" s="23">
        <v>-114</v>
      </c>
      <c r="K48" s="23">
        <v>-135</v>
      </c>
      <c r="L48" s="23">
        <v>-137</v>
      </c>
      <c r="M48" s="23">
        <v>-86</v>
      </c>
      <c r="N48" s="23">
        <v>-4</v>
      </c>
      <c r="O48" s="23">
        <v>55</v>
      </c>
      <c r="P48" s="23">
        <v>110</v>
      </c>
      <c r="Q48" s="23">
        <v>135</v>
      </c>
      <c r="R48" s="23">
        <v>151</v>
      </c>
      <c r="S48" s="23">
        <v>146</v>
      </c>
      <c r="T48" s="23">
        <v>121</v>
      </c>
      <c r="U48" s="23">
        <v>90</v>
      </c>
      <c r="V48" s="23">
        <v>65</v>
      </c>
      <c r="W48" s="23">
        <v>58</v>
      </c>
      <c r="X48" s="23">
        <v>67</v>
      </c>
      <c r="Y48" s="23">
        <v>97</v>
      </c>
      <c r="Z48" s="24">
        <f t="shared" si="0"/>
        <v>1064</v>
      </c>
      <c r="AA48" s="24">
        <f t="shared" si="1"/>
        <v>44.333333333333336</v>
      </c>
    </row>
    <row r="49" spans="1:27" ht="15" customHeight="1" x14ac:dyDescent="0.25">
      <c r="A49" s="26">
        <v>45700</v>
      </c>
      <c r="B49" s="23">
        <v>122</v>
      </c>
      <c r="C49" s="23">
        <v>142</v>
      </c>
      <c r="D49" s="23">
        <v>149</v>
      </c>
      <c r="E49" s="23">
        <v>129</v>
      </c>
      <c r="F49" s="23">
        <v>92</v>
      </c>
      <c r="G49" s="23">
        <v>45</v>
      </c>
      <c r="H49" s="23">
        <v>-6</v>
      </c>
      <c r="I49" s="23">
        <v>-53</v>
      </c>
      <c r="J49" s="23">
        <v>-93</v>
      </c>
      <c r="K49" s="23">
        <v>-122</v>
      </c>
      <c r="L49" s="23">
        <v>-141</v>
      </c>
      <c r="M49" s="23">
        <v>-135</v>
      </c>
      <c r="N49" s="23">
        <v>-62</v>
      </c>
      <c r="O49" s="23">
        <v>17</v>
      </c>
      <c r="P49" s="23">
        <v>62</v>
      </c>
      <c r="Q49" s="23">
        <v>112</v>
      </c>
      <c r="R49" s="23">
        <v>144</v>
      </c>
      <c r="S49" s="23">
        <v>146</v>
      </c>
      <c r="T49" s="23">
        <v>119</v>
      </c>
      <c r="U49" s="23">
        <v>86</v>
      </c>
      <c r="V49" s="23">
        <v>55</v>
      </c>
      <c r="W49" s="23">
        <v>34</v>
      </c>
      <c r="X49" s="23">
        <v>27</v>
      </c>
      <c r="Y49" s="23">
        <v>47</v>
      </c>
      <c r="Z49" s="24">
        <f t="shared" si="0"/>
        <v>916</v>
      </c>
      <c r="AA49" s="24">
        <f t="shared" si="1"/>
        <v>38.166666666666664</v>
      </c>
    </row>
    <row r="50" spans="1:27" ht="15" customHeight="1" x14ac:dyDescent="0.25">
      <c r="A50" s="26">
        <v>45701</v>
      </c>
      <c r="B50" s="23">
        <v>86</v>
      </c>
      <c r="C50" s="23">
        <v>124</v>
      </c>
      <c r="D50" s="23">
        <v>144</v>
      </c>
      <c r="E50" s="23">
        <v>150</v>
      </c>
      <c r="F50" s="23">
        <v>130</v>
      </c>
      <c r="G50" s="23">
        <v>88</v>
      </c>
      <c r="H50" s="23">
        <v>36</v>
      </c>
      <c r="I50" s="23">
        <v>-18</v>
      </c>
      <c r="J50" s="23">
        <v>-61</v>
      </c>
      <c r="K50" s="23">
        <v>-97</v>
      </c>
      <c r="L50" s="23">
        <v>-125</v>
      </c>
      <c r="M50" s="23">
        <v>-140</v>
      </c>
      <c r="N50" s="23">
        <v>-119</v>
      </c>
      <c r="O50" s="23">
        <v>-30</v>
      </c>
      <c r="P50" s="23">
        <v>40</v>
      </c>
      <c r="Q50" s="23">
        <v>90</v>
      </c>
      <c r="R50" s="23">
        <v>123</v>
      </c>
      <c r="S50" s="23">
        <v>141</v>
      </c>
      <c r="T50" s="23">
        <v>131</v>
      </c>
      <c r="U50" s="23">
        <v>98</v>
      </c>
      <c r="V50" s="23">
        <v>62</v>
      </c>
      <c r="W50" s="23">
        <v>26</v>
      </c>
      <c r="X50" s="23">
        <v>8</v>
      </c>
      <c r="Y50" s="23">
        <v>12</v>
      </c>
      <c r="Z50" s="24">
        <f t="shared" si="0"/>
        <v>899</v>
      </c>
      <c r="AA50" s="24">
        <f t="shared" si="1"/>
        <v>37.458333333333336</v>
      </c>
    </row>
    <row r="51" spans="1:27" ht="15" customHeight="1" x14ac:dyDescent="0.25">
      <c r="A51" s="26">
        <v>45702</v>
      </c>
      <c r="B51" s="23">
        <v>47</v>
      </c>
      <c r="C51" s="23">
        <v>94</v>
      </c>
      <c r="D51" s="23">
        <v>133</v>
      </c>
      <c r="E51" s="23">
        <v>153</v>
      </c>
      <c r="F51" s="23">
        <v>153</v>
      </c>
      <c r="G51" s="23">
        <v>123</v>
      </c>
      <c r="H51" s="23">
        <v>75</v>
      </c>
      <c r="I51" s="23">
        <v>24</v>
      </c>
      <c r="J51" s="23">
        <v>-22</v>
      </c>
      <c r="K51" s="23">
        <v>-62</v>
      </c>
      <c r="L51" s="23">
        <v>-96</v>
      </c>
      <c r="M51" s="23">
        <v>-120</v>
      </c>
      <c r="N51" s="23">
        <v>-124</v>
      </c>
      <c r="O51" s="23">
        <v>-65</v>
      </c>
      <c r="P51" s="23">
        <v>21</v>
      </c>
      <c r="Q51" s="23">
        <v>77</v>
      </c>
      <c r="R51" s="23">
        <v>113</v>
      </c>
      <c r="S51" s="23">
        <v>140</v>
      </c>
      <c r="T51" s="23">
        <v>141</v>
      </c>
      <c r="U51" s="23">
        <v>108</v>
      </c>
      <c r="V51" s="23">
        <v>68</v>
      </c>
      <c r="W51" s="23">
        <v>26</v>
      </c>
      <c r="X51" s="23">
        <v>-3</v>
      </c>
      <c r="Y51" s="23">
        <v>-17</v>
      </c>
      <c r="Z51" s="24">
        <f t="shared" si="0"/>
        <v>987</v>
      </c>
      <c r="AA51" s="24">
        <f t="shared" si="1"/>
        <v>41.125</v>
      </c>
    </row>
    <row r="52" spans="1:27" ht="15" customHeight="1" x14ac:dyDescent="0.25">
      <c r="A52" s="26">
        <v>45703</v>
      </c>
      <c r="B52" s="23">
        <v>-3</v>
      </c>
      <c r="C52" s="23">
        <v>51</v>
      </c>
      <c r="D52" s="23">
        <v>97</v>
      </c>
      <c r="E52" s="23">
        <v>134</v>
      </c>
      <c r="F52" s="23">
        <v>159</v>
      </c>
      <c r="G52" s="23">
        <v>154</v>
      </c>
      <c r="H52" s="23">
        <v>118</v>
      </c>
      <c r="I52" s="23">
        <v>64</v>
      </c>
      <c r="J52" s="23">
        <v>13</v>
      </c>
      <c r="K52" s="23">
        <v>-35</v>
      </c>
      <c r="L52" s="23">
        <v>-69</v>
      </c>
      <c r="M52" s="23">
        <v>-95</v>
      </c>
      <c r="N52" s="23">
        <v>-107</v>
      </c>
      <c r="O52" s="23">
        <v>-80</v>
      </c>
      <c r="P52" s="23">
        <v>4</v>
      </c>
      <c r="Q52" s="23">
        <v>68</v>
      </c>
      <c r="R52" s="23">
        <v>110</v>
      </c>
      <c r="S52" s="23">
        <v>138</v>
      </c>
      <c r="T52" s="23">
        <v>147</v>
      </c>
      <c r="U52" s="23">
        <v>125</v>
      </c>
      <c r="V52" s="23">
        <v>83</v>
      </c>
      <c r="W52" s="23">
        <v>41</v>
      </c>
      <c r="X52" s="23">
        <v>4</v>
      </c>
      <c r="Y52" s="23">
        <v>-20</v>
      </c>
      <c r="Z52" s="24">
        <f t="shared" si="0"/>
        <v>1101</v>
      </c>
      <c r="AA52" s="24">
        <f t="shared" si="1"/>
        <v>45.875</v>
      </c>
    </row>
    <row r="53" spans="1:27" ht="15" customHeight="1" x14ac:dyDescent="0.25">
      <c r="A53" s="26">
        <v>45704</v>
      </c>
      <c r="B53" s="23">
        <v>-27</v>
      </c>
      <c r="C53" s="23">
        <v>14</v>
      </c>
      <c r="D53" s="23">
        <v>67</v>
      </c>
      <c r="E53" s="23">
        <v>110</v>
      </c>
      <c r="F53" s="23">
        <v>143</v>
      </c>
      <c r="G53" s="23">
        <v>159</v>
      </c>
      <c r="H53" s="23">
        <v>143</v>
      </c>
      <c r="I53" s="23">
        <v>97</v>
      </c>
      <c r="J53" s="23">
        <v>45</v>
      </c>
      <c r="K53" s="23">
        <v>-1</v>
      </c>
      <c r="L53" s="23">
        <v>-42</v>
      </c>
      <c r="M53" s="23">
        <v>-71</v>
      </c>
      <c r="N53" s="23">
        <v>-89</v>
      </c>
      <c r="O53" s="23">
        <v>-78</v>
      </c>
      <c r="P53" s="23">
        <v>-9</v>
      </c>
      <c r="Q53" s="23">
        <v>56</v>
      </c>
      <c r="R53" s="23">
        <v>101</v>
      </c>
      <c r="S53" s="23">
        <v>135</v>
      </c>
      <c r="T53" s="23">
        <v>154</v>
      </c>
      <c r="U53" s="23">
        <v>142</v>
      </c>
      <c r="V53" s="23">
        <v>108</v>
      </c>
      <c r="W53" s="23">
        <v>63</v>
      </c>
      <c r="X53" s="23">
        <v>25</v>
      </c>
      <c r="Y53" s="23">
        <v>-6</v>
      </c>
      <c r="Z53" s="24">
        <f t="shared" si="0"/>
        <v>1239</v>
      </c>
      <c r="AA53" s="24">
        <f t="shared" si="1"/>
        <v>51.625</v>
      </c>
    </row>
    <row r="54" spans="1:27" ht="15" customHeight="1" x14ac:dyDescent="0.25">
      <c r="A54" s="26">
        <v>45705</v>
      </c>
      <c r="B54" s="23">
        <v>-26</v>
      </c>
      <c r="C54" s="23">
        <v>-23</v>
      </c>
      <c r="D54" s="23">
        <v>29</v>
      </c>
      <c r="E54" s="23">
        <v>75</v>
      </c>
      <c r="F54" s="23">
        <v>117</v>
      </c>
      <c r="G54" s="23">
        <v>145</v>
      </c>
      <c r="H54" s="23">
        <v>150</v>
      </c>
      <c r="I54" s="23">
        <v>127</v>
      </c>
      <c r="J54" s="23">
        <v>78</v>
      </c>
      <c r="K54" s="23">
        <v>30</v>
      </c>
      <c r="L54" s="23">
        <v>-13</v>
      </c>
      <c r="M54" s="23">
        <v>-49</v>
      </c>
      <c r="N54" s="23">
        <v>-68</v>
      </c>
      <c r="O54" s="23">
        <v>-68</v>
      </c>
      <c r="P54" s="23">
        <v>-13</v>
      </c>
      <c r="Q54" s="23">
        <v>50</v>
      </c>
      <c r="R54" s="23">
        <v>98</v>
      </c>
      <c r="S54" s="23">
        <v>133</v>
      </c>
      <c r="T54" s="23">
        <v>156</v>
      </c>
      <c r="U54" s="23">
        <v>150</v>
      </c>
      <c r="V54" s="23">
        <v>122</v>
      </c>
      <c r="W54" s="23">
        <v>74</v>
      </c>
      <c r="X54" s="23">
        <v>30</v>
      </c>
      <c r="Y54" s="23">
        <v>-2</v>
      </c>
      <c r="Z54" s="24">
        <f t="shared" si="0"/>
        <v>1302</v>
      </c>
      <c r="AA54" s="24">
        <f t="shared" si="1"/>
        <v>54.25</v>
      </c>
    </row>
    <row r="55" spans="1:27" ht="15" customHeight="1" x14ac:dyDescent="0.25">
      <c r="A55" s="26">
        <v>45706</v>
      </c>
      <c r="B55" s="23">
        <v>-29</v>
      </c>
      <c r="C55" s="23">
        <v>-38</v>
      </c>
      <c r="D55" s="23">
        <v>-16</v>
      </c>
      <c r="E55" s="23">
        <v>29</v>
      </c>
      <c r="F55" s="23">
        <v>73</v>
      </c>
      <c r="G55" s="23">
        <v>107</v>
      </c>
      <c r="H55" s="23">
        <v>127</v>
      </c>
      <c r="I55" s="23">
        <v>125</v>
      </c>
      <c r="J55" s="23">
        <v>101</v>
      </c>
      <c r="K55" s="23">
        <v>55</v>
      </c>
      <c r="L55" s="23">
        <v>14</v>
      </c>
      <c r="M55" s="23">
        <v>-21</v>
      </c>
      <c r="N55" s="23">
        <v>-46</v>
      </c>
      <c r="O55" s="23">
        <v>-55</v>
      </c>
      <c r="P55" s="23">
        <v>-23</v>
      </c>
      <c r="Q55" s="23">
        <v>30</v>
      </c>
      <c r="R55" s="23">
        <v>81</v>
      </c>
      <c r="S55" s="23">
        <v>118</v>
      </c>
      <c r="T55" s="23">
        <v>147</v>
      </c>
      <c r="U55" s="23">
        <v>154</v>
      </c>
      <c r="V55" s="23">
        <v>133</v>
      </c>
      <c r="W55" s="23">
        <v>89</v>
      </c>
      <c r="X55" s="23">
        <v>48</v>
      </c>
      <c r="Y55" s="23">
        <v>8</v>
      </c>
      <c r="Z55" s="24">
        <f t="shared" si="0"/>
        <v>1211</v>
      </c>
      <c r="AA55" s="24">
        <f t="shared" si="1"/>
        <v>50.458333333333336</v>
      </c>
    </row>
    <row r="56" spans="1:27" ht="15" customHeight="1" x14ac:dyDescent="0.25">
      <c r="A56" s="26">
        <v>45707</v>
      </c>
      <c r="B56" s="23">
        <v>-29</v>
      </c>
      <c r="C56" s="23">
        <v>-49</v>
      </c>
      <c r="D56" s="23">
        <v>-55</v>
      </c>
      <c r="E56" s="23">
        <v>-18</v>
      </c>
      <c r="F56" s="23">
        <v>31</v>
      </c>
      <c r="G56" s="23">
        <v>68</v>
      </c>
      <c r="H56" s="23">
        <v>97</v>
      </c>
      <c r="I56" s="23">
        <v>105</v>
      </c>
      <c r="J56" s="23">
        <v>105</v>
      </c>
      <c r="K56" s="23">
        <v>82</v>
      </c>
      <c r="L56" s="23">
        <v>47</v>
      </c>
      <c r="M56" s="23">
        <v>11</v>
      </c>
      <c r="N56" s="23">
        <v>-13</v>
      </c>
      <c r="O56" s="23">
        <v>-24</v>
      </c>
      <c r="P56" s="23">
        <v>-5</v>
      </c>
      <c r="Q56" s="23">
        <v>31</v>
      </c>
      <c r="R56" s="23">
        <v>72</v>
      </c>
      <c r="S56" s="23">
        <v>111</v>
      </c>
      <c r="T56" s="23">
        <v>140</v>
      </c>
      <c r="U56" s="23">
        <v>147</v>
      </c>
      <c r="V56" s="23">
        <v>131</v>
      </c>
      <c r="W56" s="23">
        <v>106</v>
      </c>
      <c r="X56" s="23">
        <v>63</v>
      </c>
      <c r="Y56" s="23">
        <v>23</v>
      </c>
      <c r="Z56" s="24">
        <f t="shared" si="0"/>
        <v>1177</v>
      </c>
      <c r="AA56" s="24">
        <f t="shared" si="1"/>
        <v>49.041666666666664</v>
      </c>
    </row>
    <row r="57" spans="1:27" ht="15" customHeight="1" x14ac:dyDescent="0.25">
      <c r="A57" s="26">
        <v>45708</v>
      </c>
      <c r="B57" s="23">
        <v>-10</v>
      </c>
      <c r="C57" s="23">
        <v>-40</v>
      </c>
      <c r="D57" s="23">
        <v>-56</v>
      </c>
      <c r="E57" s="23">
        <v>-49</v>
      </c>
      <c r="F57" s="23">
        <v>-17</v>
      </c>
      <c r="G57" s="23">
        <v>17</v>
      </c>
      <c r="H57" s="23">
        <v>47</v>
      </c>
      <c r="I57" s="23">
        <v>69</v>
      </c>
      <c r="J57" s="23">
        <v>82</v>
      </c>
      <c r="K57" s="23">
        <v>85</v>
      </c>
      <c r="L57" s="23">
        <v>70</v>
      </c>
      <c r="M57" s="23">
        <v>50</v>
      </c>
      <c r="N57" s="23">
        <v>28</v>
      </c>
      <c r="O57" s="23">
        <v>21</v>
      </c>
      <c r="P57" s="23">
        <v>27</v>
      </c>
      <c r="Q57" s="23">
        <v>47</v>
      </c>
      <c r="R57" s="23">
        <v>72</v>
      </c>
      <c r="S57" s="23">
        <v>105</v>
      </c>
      <c r="T57" s="23">
        <v>125</v>
      </c>
      <c r="U57" s="23">
        <v>134</v>
      </c>
      <c r="V57" s="23">
        <v>132</v>
      </c>
      <c r="W57" s="23">
        <v>119</v>
      </c>
      <c r="X57" s="23">
        <v>83</v>
      </c>
      <c r="Y57" s="23">
        <v>46</v>
      </c>
      <c r="Z57" s="24">
        <f t="shared" si="0"/>
        <v>1187</v>
      </c>
      <c r="AA57" s="24">
        <f t="shared" si="1"/>
        <v>49.458333333333336</v>
      </c>
    </row>
    <row r="58" spans="1:27" ht="15" customHeight="1" x14ac:dyDescent="0.25">
      <c r="A58" s="26">
        <v>45709</v>
      </c>
      <c r="B58" s="23">
        <v>12</v>
      </c>
      <c r="C58" s="23">
        <v>-22</v>
      </c>
      <c r="D58" s="23">
        <v>-44</v>
      </c>
      <c r="E58" s="23">
        <v>-53</v>
      </c>
      <c r="F58" s="23">
        <v>-46</v>
      </c>
      <c r="G58" s="23">
        <v>-20</v>
      </c>
      <c r="H58" s="23">
        <v>8</v>
      </c>
      <c r="I58" s="23">
        <v>32</v>
      </c>
      <c r="J58" s="23">
        <v>56</v>
      </c>
      <c r="K58" s="23">
        <v>71</v>
      </c>
      <c r="L58" s="23">
        <v>82</v>
      </c>
      <c r="M58" s="23">
        <v>81</v>
      </c>
      <c r="N58" s="23">
        <v>76</v>
      </c>
      <c r="O58" s="23">
        <v>74</v>
      </c>
      <c r="P58" s="23">
        <v>75</v>
      </c>
      <c r="Q58" s="23">
        <v>81</v>
      </c>
      <c r="R58" s="23">
        <v>91</v>
      </c>
      <c r="S58" s="23">
        <v>105</v>
      </c>
      <c r="T58" s="23">
        <v>116</v>
      </c>
      <c r="U58" s="23">
        <v>121</v>
      </c>
      <c r="V58" s="23">
        <v>121</v>
      </c>
      <c r="W58" s="23">
        <v>108</v>
      </c>
      <c r="X58" s="23">
        <v>81</v>
      </c>
      <c r="Y58" s="23">
        <v>57</v>
      </c>
      <c r="Z58" s="24">
        <f t="shared" si="0"/>
        <v>1263</v>
      </c>
      <c r="AA58" s="24">
        <f t="shared" si="1"/>
        <v>52.625</v>
      </c>
    </row>
    <row r="59" spans="1:27" ht="15" customHeight="1" x14ac:dyDescent="0.25">
      <c r="A59" s="26">
        <v>45710</v>
      </c>
      <c r="B59" s="23">
        <v>22</v>
      </c>
      <c r="C59" s="23">
        <v>-11</v>
      </c>
      <c r="D59" s="23">
        <v>-38</v>
      </c>
      <c r="E59" s="23">
        <v>-58</v>
      </c>
      <c r="F59" s="23">
        <v>-65</v>
      </c>
      <c r="G59" s="23">
        <v>-62</v>
      </c>
      <c r="H59" s="23">
        <v>-40</v>
      </c>
      <c r="I59" s="23">
        <v>-16</v>
      </c>
      <c r="J59" s="23">
        <v>7</v>
      </c>
      <c r="K59" s="23">
        <v>37</v>
      </c>
      <c r="L59" s="23">
        <v>61</v>
      </c>
      <c r="M59" s="23">
        <v>79</v>
      </c>
      <c r="N59" s="23">
        <v>93</v>
      </c>
      <c r="O59" s="23">
        <v>98</v>
      </c>
      <c r="P59" s="23">
        <v>101</v>
      </c>
      <c r="Q59" s="23">
        <v>105</v>
      </c>
      <c r="R59" s="23">
        <v>108</v>
      </c>
      <c r="S59" s="23">
        <v>108</v>
      </c>
      <c r="T59" s="23">
        <v>112</v>
      </c>
      <c r="U59" s="23">
        <v>115</v>
      </c>
      <c r="V59" s="23">
        <v>113</v>
      </c>
      <c r="W59" s="23">
        <v>112</v>
      </c>
      <c r="X59" s="23">
        <v>102</v>
      </c>
      <c r="Y59" s="23">
        <v>74</v>
      </c>
      <c r="Z59" s="24">
        <f t="shared" si="0"/>
        <v>1157</v>
      </c>
      <c r="AA59" s="24">
        <f t="shared" si="1"/>
        <v>48.208333333333336</v>
      </c>
    </row>
    <row r="60" spans="1:27" ht="15" customHeight="1" x14ac:dyDescent="0.25">
      <c r="A60" s="26">
        <v>45711</v>
      </c>
      <c r="B60" s="23">
        <v>48</v>
      </c>
      <c r="C60" s="23">
        <v>17</v>
      </c>
      <c r="D60" s="23">
        <v>-9</v>
      </c>
      <c r="E60" s="23">
        <v>-33</v>
      </c>
      <c r="F60" s="23">
        <v>-54</v>
      </c>
      <c r="G60" s="23">
        <v>-69</v>
      </c>
      <c r="H60" s="23">
        <v>-73</v>
      </c>
      <c r="I60" s="23">
        <v>-58</v>
      </c>
      <c r="J60" s="23">
        <v>-36</v>
      </c>
      <c r="K60" s="23">
        <v>-3</v>
      </c>
      <c r="L60" s="23">
        <v>36</v>
      </c>
      <c r="M60" s="23">
        <v>72</v>
      </c>
      <c r="N60" s="23">
        <v>103</v>
      </c>
      <c r="O60" s="23">
        <v>127</v>
      </c>
      <c r="P60" s="23">
        <v>136</v>
      </c>
      <c r="Q60" s="23">
        <v>140</v>
      </c>
      <c r="R60" s="23">
        <v>129</v>
      </c>
      <c r="S60" s="23">
        <v>122</v>
      </c>
      <c r="T60" s="23">
        <v>125</v>
      </c>
      <c r="U60" s="23">
        <v>120</v>
      </c>
      <c r="V60" s="23">
        <v>115</v>
      </c>
      <c r="W60" s="23">
        <v>111</v>
      </c>
      <c r="X60" s="23">
        <v>111</v>
      </c>
      <c r="Y60" s="23">
        <v>106</v>
      </c>
      <c r="Z60" s="24">
        <f t="shared" si="0"/>
        <v>1283</v>
      </c>
      <c r="AA60" s="24">
        <f t="shared" si="1"/>
        <v>53.458333333333336</v>
      </c>
    </row>
    <row r="61" spans="1:27" ht="15" customHeight="1" x14ac:dyDescent="0.25">
      <c r="A61" s="26">
        <v>45712</v>
      </c>
      <c r="B61" s="23">
        <v>92</v>
      </c>
      <c r="C61" s="23">
        <v>68</v>
      </c>
      <c r="D61" s="23">
        <v>37</v>
      </c>
      <c r="E61" s="23">
        <v>6</v>
      </c>
      <c r="F61" s="23">
        <v>-25</v>
      </c>
      <c r="G61" s="23">
        <v>-50</v>
      </c>
      <c r="H61" s="23">
        <v>-71</v>
      </c>
      <c r="I61" s="23">
        <v>-80</v>
      </c>
      <c r="J61" s="23">
        <v>-66</v>
      </c>
      <c r="K61" s="23">
        <v>-30</v>
      </c>
      <c r="L61" s="23">
        <v>16</v>
      </c>
      <c r="M61" s="23">
        <v>63</v>
      </c>
      <c r="N61" s="23">
        <v>103</v>
      </c>
      <c r="O61" s="23">
        <v>135</v>
      </c>
      <c r="P61" s="23">
        <v>157</v>
      </c>
      <c r="Q61" s="23">
        <v>162</v>
      </c>
      <c r="R61" s="23">
        <v>162</v>
      </c>
      <c r="S61" s="23">
        <v>153</v>
      </c>
      <c r="T61" s="23">
        <v>138</v>
      </c>
      <c r="U61" s="23">
        <v>126</v>
      </c>
      <c r="V61" s="23">
        <v>125</v>
      </c>
      <c r="W61" s="23">
        <v>130</v>
      </c>
      <c r="X61" s="23">
        <v>135</v>
      </c>
      <c r="Y61" s="23">
        <v>132</v>
      </c>
      <c r="Z61" s="24">
        <f t="shared" si="0"/>
        <v>1618</v>
      </c>
      <c r="AA61" s="24">
        <f t="shared" si="1"/>
        <v>67.416666666666671</v>
      </c>
    </row>
    <row r="62" spans="1:27" ht="15" customHeight="1" x14ac:dyDescent="0.25">
      <c r="A62" s="26">
        <v>45713</v>
      </c>
      <c r="B62" s="23">
        <v>127</v>
      </c>
      <c r="C62" s="23">
        <v>111</v>
      </c>
      <c r="D62" s="23">
        <v>79</v>
      </c>
      <c r="E62" s="23">
        <v>47</v>
      </c>
      <c r="F62" s="23">
        <v>7</v>
      </c>
      <c r="G62" s="23">
        <v>-30</v>
      </c>
      <c r="H62" s="23">
        <v>-65</v>
      </c>
      <c r="I62" s="23">
        <v>-90</v>
      </c>
      <c r="J62" s="23">
        <v>-103</v>
      </c>
      <c r="K62" s="23">
        <v>-94</v>
      </c>
      <c r="L62" s="23">
        <v>-45</v>
      </c>
      <c r="M62" s="23">
        <v>18</v>
      </c>
      <c r="N62" s="23">
        <v>73</v>
      </c>
      <c r="O62" s="23">
        <v>114</v>
      </c>
      <c r="P62" s="23">
        <v>148</v>
      </c>
      <c r="Q62" s="23">
        <v>165</v>
      </c>
      <c r="R62" s="23">
        <v>164</v>
      </c>
      <c r="S62" s="23">
        <v>151</v>
      </c>
      <c r="T62" s="23">
        <v>125</v>
      </c>
      <c r="U62" s="23">
        <v>107</v>
      </c>
      <c r="V62" s="23">
        <v>92</v>
      </c>
      <c r="W62" s="23">
        <v>95</v>
      </c>
      <c r="X62" s="23">
        <v>110</v>
      </c>
      <c r="Y62" s="23">
        <v>127</v>
      </c>
      <c r="Z62" s="24">
        <f t="shared" si="0"/>
        <v>1433</v>
      </c>
      <c r="AA62" s="24">
        <f t="shared" si="1"/>
        <v>59.708333333333336</v>
      </c>
    </row>
    <row r="63" spans="1:27" ht="15" customHeight="1" x14ac:dyDescent="0.25">
      <c r="A63" s="26">
        <v>45714</v>
      </c>
      <c r="B63" s="23">
        <v>134</v>
      </c>
      <c r="C63" s="23">
        <v>132</v>
      </c>
      <c r="D63" s="23">
        <v>116</v>
      </c>
      <c r="E63" s="23">
        <v>81</v>
      </c>
      <c r="F63" s="23">
        <v>35</v>
      </c>
      <c r="G63" s="23">
        <v>-10</v>
      </c>
      <c r="H63" s="23">
        <v>-53</v>
      </c>
      <c r="I63" s="23">
        <v>-90</v>
      </c>
      <c r="J63" s="23">
        <v>-114</v>
      </c>
      <c r="K63" s="23">
        <v>-127</v>
      </c>
      <c r="L63" s="23">
        <v>-99</v>
      </c>
      <c r="M63" s="23">
        <v>-26</v>
      </c>
      <c r="N63" s="23">
        <v>42</v>
      </c>
      <c r="O63" s="23">
        <v>91</v>
      </c>
      <c r="P63" s="23">
        <v>130</v>
      </c>
      <c r="Q63" s="23">
        <v>158</v>
      </c>
      <c r="R63" s="23">
        <v>162</v>
      </c>
      <c r="S63" s="23">
        <v>147</v>
      </c>
      <c r="T63" s="23">
        <v>120</v>
      </c>
      <c r="U63" s="23">
        <v>90</v>
      </c>
      <c r="V63" s="23">
        <v>71</v>
      </c>
      <c r="W63" s="23">
        <v>73</v>
      </c>
      <c r="X63" s="23">
        <v>94</v>
      </c>
      <c r="Y63" s="23">
        <v>119</v>
      </c>
      <c r="Z63" s="24">
        <f t="shared" si="0"/>
        <v>1276</v>
      </c>
      <c r="AA63" s="24">
        <f t="shared" si="1"/>
        <v>53.166666666666664</v>
      </c>
    </row>
    <row r="64" spans="1:27" ht="15" customHeight="1" x14ac:dyDescent="0.25">
      <c r="A64" s="26">
        <v>45715</v>
      </c>
      <c r="B64" s="23">
        <v>146</v>
      </c>
      <c r="C64" s="23">
        <v>159</v>
      </c>
      <c r="D64" s="23">
        <v>158</v>
      </c>
      <c r="E64" s="23">
        <v>135</v>
      </c>
      <c r="F64" s="23">
        <v>90</v>
      </c>
      <c r="G64" s="23">
        <v>40</v>
      </c>
      <c r="H64" s="23">
        <v>-10</v>
      </c>
      <c r="I64" s="23">
        <v>-51</v>
      </c>
      <c r="J64" s="23">
        <v>-81</v>
      </c>
      <c r="K64" s="23">
        <v>-104</v>
      </c>
      <c r="L64" s="23">
        <v>-112</v>
      </c>
      <c r="M64" s="23">
        <v>-69</v>
      </c>
      <c r="N64" s="23">
        <v>11</v>
      </c>
      <c r="O64" s="23">
        <v>72</v>
      </c>
      <c r="P64" s="23">
        <v>116</v>
      </c>
      <c r="Q64" s="23">
        <v>153</v>
      </c>
      <c r="R64" s="23">
        <v>165</v>
      </c>
      <c r="S64" s="23">
        <v>158</v>
      </c>
      <c r="T64" s="23">
        <v>125</v>
      </c>
      <c r="U64" s="23">
        <v>90</v>
      </c>
      <c r="V64" s="23">
        <v>59</v>
      </c>
      <c r="W64" s="23">
        <v>45</v>
      </c>
      <c r="X64" s="23">
        <v>55</v>
      </c>
      <c r="Y64" s="23">
        <v>87</v>
      </c>
      <c r="Z64" s="24">
        <f t="shared" si="0"/>
        <v>1437</v>
      </c>
      <c r="AA64" s="24">
        <f t="shared" si="1"/>
        <v>59.875</v>
      </c>
    </row>
    <row r="65" spans="1:27" ht="15" customHeight="1" x14ac:dyDescent="0.25">
      <c r="A65" s="26">
        <v>45716</v>
      </c>
      <c r="B65" s="23">
        <v>128</v>
      </c>
      <c r="C65" s="23">
        <v>158</v>
      </c>
      <c r="D65" s="23">
        <v>178</v>
      </c>
      <c r="E65" s="23">
        <v>174</v>
      </c>
      <c r="F65" s="23">
        <v>145</v>
      </c>
      <c r="G65" s="23">
        <v>89</v>
      </c>
      <c r="H65" s="23">
        <v>32</v>
      </c>
      <c r="I65" s="23">
        <v>-19</v>
      </c>
      <c r="J65" s="23">
        <v>-60</v>
      </c>
      <c r="K65" s="23">
        <v>-94</v>
      </c>
      <c r="L65" s="23">
        <v>-115</v>
      </c>
      <c r="M65" s="23">
        <v>-114</v>
      </c>
      <c r="N65" s="23">
        <v>-44</v>
      </c>
      <c r="O65" s="23">
        <v>42</v>
      </c>
      <c r="P65" s="23">
        <v>99</v>
      </c>
      <c r="Q65" s="23">
        <v>140</v>
      </c>
      <c r="R65" s="23">
        <v>165</v>
      </c>
      <c r="S65" s="23">
        <v>161</v>
      </c>
      <c r="T65" s="23">
        <v>132</v>
      </c>
      <c r="U65" s="23">
        <v>86</v>
      </c>
      <c r="V65" s="23">
        <v>42</v>
      </c>
      <c r="W65" s="23">
        <v>10</v>
      </c>
      <c r="X65" s="23">
        <v>-6</v>
      </c>
      <c r="Y65" s="23">
        <v>22</v>
      </c>
      <c r="Z65" s="24">
        <f t="shared" si="0"/>
        <v>1351</v>
      </c>
      <c r="AA65" s="24">
        <f t="shared" si="1"/>
        <v>56.291666666666664</v>
      </c>
    </row>
    <row r="66" spans="1:27" ht="15" customHeight="1" x14ac:dyDescent="0.25">
      <c r="A66" s="26"/>
      <c r="B66" s="28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30"/>
      <c r="Z66" s="24"/>
      <c r="AA66" s="24"/>
    </row>
    <row r="67" spans="1:27" ht="15" customHeight="1" x14ac:dyDescent="0.25">
      <c r="A67" s="22"/>
      <c r="B67" s="28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31"/>
      <c r="Z67" s="24"/>
      <c r="AA67" s="32"/>
    </row>
    <row r="68" spans="1:27" ht="15" customHeight="1" x14ac:dyDescent="0.25">
      <c r="A68" s="33"/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7"/>
      <c r="AA68" s="38"/>
    </row>
    <row r="69" spans="1:27" ht="15" customHeight="1" x14ac:dyDescent="0.25">
      <c r="A69" s="19">
        <v>45717</v>
      </c>
      <c r="B69" s="20">
        <v>77</v>
      </c>
      <c r="C69" s="20">
        <v>128</v>
      </c>
      <c r="D69" s="20">
        <v>165</v>
      </c>
      <c r="E69" s="20">
        <v>187</v>
      </c>
      <c r="F69" s="20">
        <v>181</v>
      </c>
      <c r="G69" s="20">
        <v>139</v>
      </c>
      <c r="H69" s="20">
        <v>77</v>
      </c>
      <c r="I69" s="20">
        <v>22</v>
      </c>
      <c r="J69" s="20">
        <v>-25</v>
      </c>
      <c r="K69" s="20">
        <v>-66</v>
      </c>
      <c r="L69" s="20">
        <v>-99</v>
      </c>
      <c r="M69" s="20">
        <v>-114</v>
      </c>
      <c r="N69" s="20">
        <v>-95</v>
      </c>
      <c r="O69" s="20">
        <v>5</v>
      </c>
      <c r="P69" s="20">
        <v>76</v>
      </c>
      <c r="Q69" s="20">
        <v>127</v>
      </c>
      <c r="R69" s="20">
        <v>161</v>
      </c>
      <c r="S69" s="20">
        <v>174</v>
      </c>
      <c r="T69" s="20">
        <v>150</v>
      </c>
      <c r="U69" s="20">
        <v>100</v>
      </c>
      <c r="V69" s="20">
        <v>50</v>
      </c>
      <c r="W69" s="20">
        <v>5</v>
      </c>
      <c r="X69" s="20">
        <v>-27</v>
      </c>
      <c r="Y69" s="20">
        <v>-45</v>
      </c>
      <c r="Z69" s="27">
        <f t="shared" ref="Z69:Z99" si="3">SUM(B69:Y69)</f>
        <v>1353</v>
      </c>
      <c r="AA69" s="39">
        <f t="shared" ref="AA69:AA99" si="4">AVERAGE(B69:Y69)</f>
        <v>56.375</v>
      </c>
    </row>
    <row r="70" spans="1:27" ht="15" customHeight="1" x14ac:dyDescent="0.25">
      <c r="A70" s="22">
        <f t="shared" ref="A70:A99" si="5">A69+1</f>
        <v>45718</v>
      </c>
      <c r="B70" s="23">
        <v>-14</v>
      </c>
      <c r="C70" s="23">
        <v>56</v>
      </c>
      <c r="D70" s="23">
        <v>119</v>
      </c>
      <c r="E70" s="23">
        <v>163</v>
      </c>
      <c r="F70" s="23">
        <v>191</v>
      </c>
      <c r="G70" s="23">
        <v>188</v>
      </c>
      <c r="H70" s="23">
        <v>141</v>
      </c>
      <c r="I70" s="23">
        <v>77</v>
      </c>
      <c r="J70" s="23">
        <v>19</v>
      </c>
      <c r="K70" s="23">
        <v>-30</v>
      </c>
      <c r="L70" s="23">
        <v>-69</v>
      </c>
      <c r="M70" s="23">
        <v>-98</v>
      </c>
      <c r="N70" s="23">
        <v>-108</v>
      </c>
      <c r="O70" s="23">
        <v>-50</v>
      </c>
      <c r="P70" s="23">
        <v>40</v>
      </c>
      <c r="Q70" s="23">
        <v>98</v>
      </c>
      <c r="R70" s="23">
        <v>140</v>
      </c>
      <c r="S70" s="23">
        <v>166</v>
      </c>
      <c r="T70" s="23">
        <v>161</v>
      </c>
      <c r="U70" s="23">
        <v>118</v>
      </c>
      <c r="V70" s="23">
        <v>68</v>
      </c>
      <c r="W70" s="23">
        <v>13</v>
      </c>
      <c r="X70" s="23">
        <v>-32</v>
      </c>
      <c r="Y70" s="23">
        <v>-61</v>
      </c>
      <c r="Z70" s="24">
        <f t="shared" si="3"/>
        <v>1296</v>
      </c>
      <c r="AA70" s="32">
        <f t="shared" si="4"/>
        <v>54</v>
      </c>
    </row>
    <row r="71" spans="1:27" ht="15" customHeight="1" x14ac:dyDescent="0.25">
      <c r="A71" s="22">
        <f t="shared" si="5"/>
        <v>45719</v>
      </c>
      <c r="B71" s="23">
        <v>-75</v>
      </c>
      <c r="C71" s="23">
        <v>-35</v>
      </c>
      <c r="D71" s="23">
        <v>46</v>
      </c>
      <c r="E71" s="23">
        <v>105</v>
      </c>
      <c r="F71" s="23">
        <v>151</v>
      </c>
      <c r="G71" s="23">
        <v>178</v>
      </c>
      <c r="H71" s="23">
        <v>172</v>
      </c>
      <c r="I71" s="23">
        <v>125</v>
      </c>
      <c r="J71" s="23">
        <v>65</v>
      </c>
      <c r="K71" s="23">
        <v>11</v>
      </c>
      <c r="L71" s="23">
        <v>-37</v>
      </c>
      <c r="M71" s="23">
        <v>-71</v>
      </c>
      <c r="N71" s="23">
        <v>-92</v>
      </c>
      <c r="O71" s="23">
        <v>-85</v>
      </c>
      <c r="P71" s="23">
        <v>0</v>
      </c>
      <c r="Q71" s="23">
        <v>75</v>
      </c>
      <c r="R71" s="23">
        <v>126</v>
      </c>
      <c r="S71" s="23">
        <v>157</v>
      </c>
      <c r="T71" s="23">
        <v>174</v>
      </c>
      <c r="U71" s="23">
        <v>148</v>
      </c>
      <c r="V71" s="23">
        <v>91</v>
      </c>
      <c r="W71" s="23">
        <v>34</v>
      </c>
      <c r="X71" s="23">
        <v>-16</v>
      </c>
      <c r="Y71" s="23">
        <v>-54</v>
      </c>
      <c r="Z71" s="24">
        <f t="shared" si="3"/>
        <v>1193</v>
      </c>
      <c r="AA71" s="32">
        <f t="shared" si="4"/>
        <v>49.708333333333336</v>
      </c>
    </row>
    <row r="72" spans="1:27" ht="15" customHeight="1" x14ac:dyDescent="0.25">
      <c r="A72" s="22">
        <f t="shared" si="5"/>
        <v>45720</v>
      </c>
      <c r="B72" s="23">
        <v>-79</v>
      </c>
      <c r="C72" s="23">
        <v>-90</v>
      </c>
      <c r="D72" s="23">
        <v>-48</v>
      </c>
      <c r="E72" s="23">
        <v>36</v>
      </c>
      <c r="F72" s="23">
        <v>94</v>
      </c>
      <c r="G72" s="23">
        <v>135</v>
      </c>
      <c r="H72" s="23">
        <v>155</v>
      </c>
      <c r="I72" s="23">
        <v>148</v>
      </c>
      <c r="J72" s="23">
        <v>105</v>
      </c>
      <c r="K72" s="23">
        <v>49</v>
      </c>
      <c r="L72" s="23">
        <v>0</v>
      </c>
      <c r="M72" s="23">
        <v>-38</v>
      </c>
      <c r="N72" s="23">
        <v>-65</v>
      </c>
      <c r="O72" s="23">
        <v>-74</v>
      </c>
      <c r="P72" s="23">
        <v>-34</v>
      </c>
      <c r="Q72" s="23">
        <v>40</v>
      </c>
      <c r="R72" s="23">
        <v>98</v>
      </c>
      <c r="S72" s="23">
        <v>137</v>
      </c>
      <c r="T72" s="23">
        <v>159</v>
      </c>
      <c r="U72" s="23">
        <v>152</v>
      </c>
      <c r="V72" s="23">
        <v>114</v>
      </c>
      <c r="W72" s="23">
        <v>59</v>
      </c>
      <c r="X72" s="23">
        <v>5</v>
      </c>
      <c r="Y72" s="23">
        <v>-40</v>
      </c>
      <c r="Z72" s="24">
        <f t="shared" si="3"/>
        <v>1018</v>
      </c>
      <c r="AA72" s="32">
        <f t="shared" si="4"/>
        <v>42.416666666666664</v>
      </c>
    </row>
    <row r="73" spans="1:27" ht="15" customHeight="1" x14ac:dyDescent="0.25">
      <c r="A73" s="22">
        <f t="shared" si="5"/>
        <v>45721</v>
      </c>
      <c r="B73" s="23">
        <v>-75</v>
      </c>
      <c r="C73" s="23">
        <v>-98</v>
      </c>
      <c r="D73" s="23">
        <v>-105</v>
      </c>
      <c r="E73" s="23">
        <v>-66</v>
      </c>
      <c r="F73" s="23">
        <v>14</v>
      </c>
      <c r="G73" s="23">
        <v>70</v>
      </c>
      <c r="H73" s="23">
        <v>106</v>
      </c>
      <c r="I73" s="23">
        <v>126</v>
      </c>
      <c r="J73" s="23">
        <v>125</v>
      </c>
      <c r="K73" s="23">
        <v>88</v>
      </c>
      <c r="L73" s="23">
        <v>44</v>
      </c>
      <c r="M73" s="23">
        <v>4</v>
      </c>
      <c r="N73" s="23">
        <v>-27</v>
      </c>
      <c r="O73" s="23">
        <v>-43</v>
      </c>
      <c r="P73" s="23">
        <v>-28</v>
      </c>
      <c r="Q73" s="23">
        <v>29</v>
      </c>
      <c r="R73" s="23">
        <v>85</v>
      </c>
      <c r="S73" s="23">
        <v>122</v>
      </c>
      <c r="T73" s="23">
        <v>148</v>
      </c>
      <c r="U73" s="23">
        <v>157</v>
      </c>
      <c r="V73" s="23">
        <v>130</v>
      </c>
      <c r="W73" s="23">
        <v>85</v>
      </c>
      <c r="X73" s="23">
        <v>35</v>
      </c>
      <c r="Y73" s="23">
        <v>-15</v>
      </c>
      <c r="Z73" s="24">
        <f t="shared" si="3"/>
        <v>911</v>
      </c>
      <c r="AA73" s="32">
        <f t="shared" si="4"/>
        <v>37.958333333333336</v>
      </c>
    </row>
    <row r="74" spans="1:27" ht="15" customHeight="1" x14ac:dyDescent="0.25">
      <c r="A74" s="22">
        <f t="shared" si="5"/>
        <v>45722</v>
      </c>
      <c r="B74" s="23">
        <v>-56</v>
      </c>
      <c r="C74" s="23">
        <v>-86</v>
      </c>
      <c r="D74" s="23">
        <v>-105</v>
      </c>
      <c r="E74" s="23">
        <v>-109</v>
      </c>
      <c r="F74" s="23">
        <v>-64</v>
      </c>
      <c r="G74" s="23">
        <v>5</v>
      </c>
      <c r="H74" s="23">
        <v>52</v>
      </c>
      <c r="I74" s="23">
        <v>78</v>
      </c>
      <c r="J74" s="23">
        <v>102</v>
      </c>
      <c r="K74" s="23">
        <v>102</v>
      </c>
      <c r="L74" s="23">
        <v>83</v>
      </c>
      <c r="M74" s="23">
        <v>54</v>
      </c>
      <c r="N74" s="23">
        <v>30</v>
      </c>
      <c r="O74" s="23">
        <v>13</v>
      </c>
      <c r="P74" s="23">
        <v>11</v>
      </c>
      <c r="Q74" s="23">
        <v>33</v>
      </c>
      <c r="R74" s="23">
        <v>73</v>
      </c>
      <c r="S74" s="23">
        <v>105</v>
      </c>
      <c r="T74" s="23">
        <v>128</v>
      </c>
      <c r="U74" s="23">
        <v>140</v>
      </c>
      <c r="V74" s="23">
        <v>131</v>
      </c>
      <c r="W74" s="23">
        <v>98</v>
      </c>
      <c r="X74" s="23">
        <v>57</v>
      </c>
      <c r="Y74" s="23">
        <v>10</v>
      </c>
      <c r="Z74" s="24">
        <f t="shared" si="3"/>
        <v>885</v>
      </c>
      <c r="AA74" s="32">
        <f t="shared" si="4"/>
        <v>36.875</v>
      </c>
    </row>
    <row r="75" spans="1:27" ht="15" customHeight="1" x14ac:dyDescent="0.25">
      <c r="A75" s="22">
        <f t="shared" si="5"/>
        <v>45723</v>
      </c>
      <c r="B75" s="23">
        <v>-32</v>
      </c>
      <c r="C75" s="23">
        <v>-68</v>
      </c>
      <c r="D75" s="23">
        <v>-94</v>
      </c>
      <c r="E75" s="23">
        <v>-111</v>
      </c>
      <c r="F75" s="23">
        <v>-108</v>
      </c>
      <c r="G75" s="23">
        <v>-67</v>
      </c>
      <c r="H75" s="23">
        <v>-6</v>
      </c>
      <c r="I75" s="23">
        <v>39</v>
      </c>
      <c r="J75" s="23">
        <v>70</v>
      </c>
      <c r="K75" s="23">
        <v>93</v>
      </c>
      <c r="L75" s="23">
        <v>104</v>
      </c>
      <c r="M75" s="23">
        <v>104</v>
      </c>
      <c r="N75" s="23">
        <v>98</v>
      </c>
      <c r="O75" s="23">
        <v>87</v>
      </c>
      <c r="P75" s="23">
        <v>82</v>
      </c>
      <c r="Q75" s="23">
        <v>88</v>
      </c>
      <c r="R75" s="23">
        <v>104</v>
      </c>
      <c r="S75" s="23">
        <v>123</v>
      </c>
      <c r="T75" s="23">
        <v>140</v>
      </c>
      <c r="U75" s="23">
        <v>150</v>
      </c>
      <c r="V75" s="23">
        <v>147</v>
      </c>
      <c r="W75" s="23">
        <v>131</v>
      </c>
      <c r="X75" s="23">
        <v>101</v>
      </c>
      <c r="Y75" s="23">
        <v>64</v>
      </c>
      <c r="Z75" s="24">
        <f t="shared" si="3"/>
        <v>1239</v>
      </c>
      <c r="AA75" s="32">
        <f t="shared" si="4"/>
        <v>51.625</v>
      </c>
    </row>
    <row r="76" spans="1:27" ht="15" customHeight="1" x14ac:dyDescent="0.25">
      <c r="A76" s="22">
        <f t="shared" si="5"/>
        <v>45724</v>
      </c>
      <c r="B76" s="23">
        <v>24</v>
      </c>
      <c r="C76" s="23">
        <v>-15</v>
      </c>
      <c r="D76" s="23">
        <v>-47</v>
      </c>
      <c r="E76" s="23">
        <v>-72</v>
      </c>
      <c r="F76" s="23">
        <v>-85</v>
      </c>
      <c r="G76" s="23">
        <v>-87</v>
      </c>
      <c r="H76" s="23">
        <v>-75</v>
      </c>
      <c r="I76" s="23">
        <v>-24</v>
      </c>
      <c r="J76" s="23">
        <v>19</v>
      </c>
      <c r="K76" s="23">
        <v>54</v>
      </c>
      <c r="L76" s="23">
        <v>84</v>
      </c>
      <c r="M76" s="23">
        <v>104</v>
      </c>
      <c r="N76" s="23">
        <v>119</v>
      </c>
      <c r="O76" s="23">
        <v>124</v>
      </c>
      <c r="P76" s="23">
        <v>124</v>
      </c>
      <c r="Q76" s="23">
        <v>122</v>
      </c>
      <c r="R76" s="23">
        <v>119</v>
      </c>
      <c r="S76" s="23">
        <v>121</v>
      </c>
      <c r="T76" s="23">
        <v>131</v>
      </c>
      <c r="U76" s="23">
        <v>133</v>
      </c>
      <c r="V76" s="23">
        <v>131</v>
      </c>
      <c r="W76" s="23">
        <v>127</v>
      </c>
      <c r="X76" s="23">
        <v>120</v>
      </c>
      <c r="Y76" s="23">
        <v>97</v>
      </c>
      <c r="Z76" s="24">
        <f t="shared" si="3"/>
        <v>1348</v>
      </c>
      <c r="AA76" s="32">
        <f t="shared" si="4"/>
        <v>56.166666666666664</v>
      </c>
    </row>
    <row r="77" spans="1:27" ht="15" customHeight="1" x14ac:dyDescent="0.25">
      <c r="A77" s="22">
        <f t="shared" si="5"/>
        <v>45725</v>
      </c>
      <c r="B77" s="23">
        <v>67</v>
      </c>
      <c r="C77" s="23">
        <v>35</v>
      </c>
      <c r="D77" s="23">
        <v>-5</v>
      </c>
      <c r="E77" s="23">
        <v>-43</v>
      </c>
      <c r="F77" s="23">
        <v>-72</v>
      </c>
      <c r="G77" s="23">
        <v>-93</v>
      </c>
      <c r="H77" s="23">
        <v>-99</v>
      </c>
      <c r="I77" s="23">
        <v>-82</v>
      </c>
      <c r="J77" s="23">
        <v>-47</v>
      </c>
      <c r="K77" s="23">
        <v>-1</v>
      </c>
      <c r="L77" s="23">
        <v>46</v>
      </c>
      <c r="M77" s="23">
        <v>89</v>
      </c>
      <c r="N77" s="23">
        <v>124</v>
      </c>
      <c r="O77" s="23">
        <v>148</v>
      </c>
      <c r="P77" s="23">
        <v>155</v>
      </c>
      <c r="Q77" s="23">
        <v>157</v>
      </c>
      <c r="R77" s="23">
        <v>151</v>
      </c>
      <c r="S77" s="23">
        <v>136</v>
      </c>
      <c r="T77" s="23">
        <v>131</v>
      </c>
      <c r="U77" s="23">
        <v>131</v>
      </c>
      <c r="V77" s="23">
        <v>123</v>
      </c>
      <c r="W77" s="23">
        <v>119</v>
      </c>
      <c r="X77" s="23">
        <v>120</v>
      </c>
      <c r="Y77" s="23">
        <v>110</v>
      </c>
      <c r="Z77" s="24">
        <f t="shared" si="3"/>
        <v>1400</v>
      </c>
      <c r="AA77" s="32">
        <f t="shared" si="4"/>
        <v>58.333333333333336</v>
      </c>
    </row>
    <row r="78" spans="1:27" ht="15" customHeight="1" x14ac:dyDescent="0.25">
      <c r="A78" s="22">
        <f t="shared" si="5"/>
        <v>45726</v>
      </c>
      <c r="B78" s="23">
        <v>93</v>
      </c>
      <c r="C78" s="23">
        <v>72</v>
      </c>
      <c r="D78" s="23">
        <v>40</v>
      </c>
      <c r="E78" s="23">
        <v>2</v>
      </c>
      <c r="F78" s="23">
        <v>-37</v>
      </c>
      <c r="G78" s="23">
        <v>-71</v>
      </c>
      <c r="H78" s="23">
        <v>-95</v>
      </c>
      <c r="I78" s="23">
        <v>-112</v>
      </c>
      <c r="J78" s="23">
        <v>-101</v>
      </c>
      <c r="K78" s="23">
        <v>-53</v>
      </c>
      <c r="L78" s="23">
        <v>2</v>
      </c>
      <c r="M78" s="23">
        <v>55</v>
      </c>
      <c r="N78" s="23">
        <v>104</v>
      </c>
      <c r="O78" s="23">
        <v>140</v>
      </c>
      <c r="P78" s="23">
        <v>160</v>
      </c>
      <c r="Q78" s="23">
        <v>160</v>
      </c>
      <c r="R78" s="23">
        <v>156</v>
      </c>
      <c r="S78" s="23">
        <v>138</v>
      </c>
      <c r="T78" s="23">
        <v>118</v>
      </c>
      <c r="U78" s="23">
        <v>105</v>
      </c>
      <c r="V78" s="23">
        <v>102</v>
      </c>
      <c r="W78" s="23">
        <v>105</v>
      </c>
      <c r="X78" s="23">
        <v>115</v>
      </c>
      <c r="Y78" s="23">
        <v>120</v>
      </c>
      <c r="Z78" s="24">
        <f t="shared" si="3"/>
        <v>1318</v>
      </c>
      <c r="AA78" s="32">
        <f t="shared" si="4"/>
        <v>54.916666666666664</v>
      </c>
    </row>
    <row r="79" spans="1:27" ht="15" customHeight="1" x14ac:dyDescent="0.25">
      <c r="A79" s="22">
        <f t="shared" si="5"/>
        <v>45727</v>
      </c>
      <c r="B79" s="23">
        <v>118</v>
      </c>
      <c r="C79" s="23">
        <v>107</v>
      </c>
      <c r="D79" s="23">
        <v>83</v>
      </c>
      <c r="E79" s="23">
        <v>49</v>
      </c>
      <c r="F79" s="23">
        <v>7</v>
      </c>
      <c r="G79" s="23">
        <v>-31</v>
      </c>
      <c r="H79" s="23">
        <v>-67</v>
      </c>
      <c r="I79" s="23">
        <v>-95</v>
      </c>
      <c r="J79" s="23">
        <v>-110</v>
      </c>
      <c r="K79" s="23">
        <v>-101</v>
      </c>
      <c r="L79" s="23">
        <v>-48</v>
      </c>
      <c r="M79" s="23">
        <v>16</v>
      </c>
      <c r="N79" s="23">
        <v>68</v>
      </c>
      <c r="O79" s="23">
        <v>113</v>
      </c>
      <c r="P79" s="23">
        <v>143</v>
      </c>
      <c r="Q79" s="23">
        <v>157</v>
      </c>
      <c r="R79" s="23">
        <v>152</v>
      </c>
      <c r="S79" s="23">
        <v>130</v>
      </c>
      <c r="T79" s="23">
        <v>103</v>
      </c>
      <c r="U79" s="23">
        <v>80</v>
      </c>
      <c r="V79" s="23">
        <v>66</v>
      </c>
      <c r="W79" s="23">
        <v>72</v>
      </c>
      <c r="X79" s="23">
        <v>87</v>
      </c>
      <c r="Y79" s="23">
        <v>109</v>
      </c>
      <c r="Z79" s="24">
        <f t="shared" si="3"/>
        <v>1208</v>
      </c>
      <c r="AA79" s="32">
        <f t="shared" si="4"/>
        <v>50.333333333333336</v>
      </c>
    </row>
    <row r="80" spans="1:27" ht="15" customHeight="1" x14ac:dyDescent="0.25">
      <c r="A80" s="22">
        <f t="shared" si="5"/>
        <v>45728</v>
      </c>
      <c r="B80" s="23">
        <v>125</v>
      </c>
      <c r="C80" s="23">
        <v>133</v>
      </c>
      <c r="D80" s="23">
        <v>126</v>
      </c>
      <c r="E80" s="23">
        <v>94</v>
      </c>
      <c r="F80" s="23">
        <v>54</v>
      </c>
      <c r="G80" s="23">
        <v>10</v>
      </c>
      <c r="H80" s="23">
        <v>-32</v>
      </c>
      <c r="I80" s="23">
        <v>-72</v>
      </c>
      <c r="J80" s="23">
        <v>-99</v>
      </c>
      <c r="K80" s="23">
        <v>-111</v>
      </c>
      <c r="L80" s="23">
        <v>-90</v>
      </c>
      <c r="M80" s="23">
        <v>-23</v>
      </c>
      <c r="N80" s="23">
        <v>41</v>
      </c>
      <c r="O80" s="23">
        <v>94</v>
      </c>
      <c r="P80" s="23">
        <v>133</v>
      </c>
      <c r="Q80" s="23">
        <v>155</v>
      </c>
      <c r="R80" s="23">
        <v>157</v>
      </c>
      <c r="S80" s="23">
        <v>136</v>
      </c>
      <c r="T80" s="23">
        <v>101</v>
      </c>
      <c r="U80" s="23">
        <v>64</v>
      </c>
      <c r="V80" s="23">
        <v>41</v>
      </c>
      <c r="W80" s="23">
        <v>33</v>
      </c>
      <c r="X80" s="23">
        <v>40</v>
      </c>
      <c r="Y80" s="23">
        <v>68</v>
      </c>
      <c r="Z80" s="24">
        <f t="shared" si="3"/>
        <v>1178</v>
      </c>
      <c r="AA80" s="32">
        <f t="shared" si="4"/>
        <v>49.083333333333336</v>
      </c>
    </row>
    <row r="81" spans="1:27" ht="15" customHeight="1" x14ac:dyDescent="0.25">
      <c r="A81" s="22">
        <f t="shared" si="5"/>
        <v>45729</v>
      </c>
      <c r="B81" s="23">
        <v>108</v>
      </c>
      <c r="C81" s="23">
        <v>131</v>
      </c>
      <c r="D81" s="23">
        <v>146</v>
      </c>
      <c r="E81" s="23">
        <v>137</v>
      </c>
      <c r="F81" s="23">
        <v>98</v>
      </c>
      <c r="G81" s="23">
        <v>50</v>
      </c>
      <c r="H81" s="23">
        <v>2</v>
      </c>
      <c r="I81" s="23">
        <v>-43</v>
      </c>
      <c r="J81" s="23">
        <v>-79</v>
      </c>
      <c r="K81" s="23">
        <v>-103</v>
      </c>
      <c r="L81" s="23">
        <v>-112</v>
      </c>
      <c r="M81" s="23">
        <v>-72</v>
      </c>
      <c r="N81" s="23">
        <v>5</v>
      </c>
      <c r="O81" s="23">
        <v>69</v>
      </c>
      <c r="P81" s="23">
        <v>112</v>
      </c>
      <c r="Q81" s="23">
        <v>142</v>
      </c>
      <c r="R81" s="23">
        <v>151</v>
      </c>
      <c r="S81" s="23">
        <v>134</v>
      </c>
      <c r="T81" s="23">
        <v>95</v>
      </c>
      <c r="U81" s="23">
        <v>54</v>
      </c>
      <c r="V81" s="23">
        <v>19</v>
      </c>
      <c r="W81" s="23">
        <v>-8</v>
      </c>
      <c r="X81" s="23">
        <v>-12</v>
      </c>
      <c r="Y81" s="23">
        <v>21</v>
      </c>
      <c r="Z81" s="24">
        <f t="shared" si="3"/>
        <v>1045</v>
      </c>
      <c r="AA81" s="32">
        <f t="shared" si="4"/>
        <v>43.541666666666664</v>
      </c>
    </row>
    <row r="82" spans="1:27" ht="15" customHeight="1" x14ac:dyDescent="0.25">
      <c r="A82" s="22">
        <f t="shared" si="5"/>
        <v>45730</v>
      </c>
      <c r="B82" s="23">
        <v>68</v>
      </c>
      <c r="C82" s="23">
        <v>107</v>
      </c>
      <c r="D82" s="23">
        <v>135</v>
      </c>
      <c r="E82" s="23">
        <v>149</v>
      </c>
      <c r="F82" s="23">
        <v>137</v>
      </c>
      <c r="G82" s="23">
        <v>93</v>
      </c>
      <c r="H82" s="23">
        <v>43</v>
      </c>
      <c r="I82" s="23">
        <v>-5</v>
      </c>
      <c r="J82" s="23">
        <v>-47</v>
      </c>
      <c r="K82" s="23">
        <v>-80</v>
      </c>
      <c r="L82" s="23">
        <v>-100</v>
      </c>
      <c r="M82" s="23">
        <v>-100</v>
      </c>
      <c r="N82" s="23">
        <v>-34</v>
      </c>
      <c r="O82" s="23">
        <v>40</v>
      </c>
      <c r="P82" s="23">
        <v>93</v>
      </c>
      <c r="Q82" s="23">
        <v>128</v>
      </c>
      <c r="R82" s="23">
        <v>150</v>
      </c>
      <c r="S82" s="23">
        <v>143</v>
      </c>
      <c r="T82" s="23">
        <v>84</v>
      </c>
      <c r="U82" s="23">
        <v>59</v>
      </c>
      <c r="V82" s="23">
        <v>18</v>
      </c>
      <c r="W82" s="23">
        <v>-16</v>
      </c>
      <c r="X82" s="23">
        <v>-36</v>
      </c>
      <c r="Y82" s="23">
        <v>-33</v>
      </c>
      <c r="Z82" s="24">
        <f t="shared" si="3"/>
        <v>996</v>
      </c>
      <c r="AA82" s="32">
        <f t="shared" si="4"/>
        <v>41.5</v>
      </c>
    </row>
    <row r="83" spans="1:27" ht="15" customHeight="1" x14ac:dyDescent="0.25">
      <c r="A83" s="22">
        <f t="shared" si="5"/>
        <v>45731</v>
      </c>
      <c r="B83" s="23">
        <v>21</v>
      </c>
      <c r="C83" s="23">
        <v>74</v>
      </c>
      <c r="D83" s="23">
        <v>118</v>
      </c>
      <c r="E83" s="23">
        <v>148</v>
      </c>
      <c r="F83" s="23">
        <v>157</v>
      </c>
      <c r="G83" s="23">
        <v>130</v>
      </c>
      <c r="H83" s="23">
        <v>79</v>
      </c>
      <c r="I83" s="23">
        <v>27</v>
      </c>
      <c r="J83" s="23">
        <v>-22</v>
      </c>
      <c r="K83" s="23">
        <v>-61</v>
      </c>
      <c r="L83" s="23">
        <v>-90</v>
      </c>
      <c r="M83" s="23">
        <v>-103</v>
      </c>
      <c r="N83" s="23">
        <v>-67</v>
      </c>
      <c r="O83" s="23">
        <v>13</v>
      </c>
      <c r="P83" s="23">
        <v>72</v>
      </c>
      <c r="Q83" s="23">
        <v>114</v>
      </c>
      <c r="R83" s="23">
        <v>141</v>
      </c>
      <c r="S83" s="23">
        <v>142</v>
      </c>
      <c r="T83" s="23">
        <v>112</v>
      </c>
      <c r="U83" s="23">
        <v>63</v>
      </c>
      <c r="V83" s="23">
        <v>18</v>
      </c>
      <c r="W83" s="23">
        <v>-21</v>
      </c>
      <c r="X83" s="23">
        <v>-51</v>
      </c>
      <c r="Y83" s="23">
        <v>-65</v>
      </c>
      <c r="Z83" s="24">
        <f t="shared" si="3"/>
        <v>949</v>
      </c>
      <c r="AA83" s="32">
        <f t="shared" si="4"/>
        <v>39.541666666666664</v>
      </c>
    </row>
    <row r="84" spans="1:27" ht="15" customHeight="1" x14ac:dyDescent="0.25">
      <c r="A84" s="22">
        <f t="shared" si="5"/>
        <v>45732</v>
      </c>
      <c r="B84" s="23">
        <v>-38</v>
      </c>
      <c r="C84" s="23">
        <v>27</v>
      </c>
      <c r="D84" s="23">
        <v>80</v>
      </c>
      <c r="E84" s="23">
        <v>121</v>
      </c>
      <c r="F84" s="23">
        <v>146</v>
      </c>
      <c r="G84" s="23">
        <v>149</v>
      </c>
      <c r="H84" s="23">
        <v>113</v>
      </c>
      <c r="I84" s="23">
        <v>62</v>
      </c>
      <c r="J84" s="23">
        <v>9</v>
      </c>
      <c r="K84" s="23">
        <v>-31</v>
      </c>
      <c r="L84" s="23">
        <v>-65</v>
      </c>
      <c r="M84" s="23">
        <v>-85</v>
      </c>
      <c r="N84" s="23">
        <v>-85</v>
      </c>
      <c r="O84" s="23">
        <v>-21</v>
      </c>
      <c r="P84" s="23">
        <v>49</v>
      </c>
      <c r="Q84" s="23">
        <v>98</v>
      </c>
      <c r="R84" s="23">
        <v>130</v>
      </c>
      <c r="S84" s="23">
        <v>145</v>
      </c>
      <c r="T84" s="23">
        <v>127</v>
      </c>
      <c r="U84" s="23">
        <v>82</v>
      </c>
      <c r="V84" s="23">
        <v>35</v>
      </c>
      <c r="W84" s="23">
        <v>-13</v>
      </c>
      <c r="X84" s="23">
        <v>-48</v>
      </c>
      <c r="Y84" s="23">
        <v>-70</v>
      </c>
      <c r="Z84" s="24">
        <f t="shared" si="3"/>
        <v>917</v>
      </c>
      <c r="AA84" s="32">
        <f t="shared" si="4"/>
        <v>38.208333333333336</v>
      </c>
    </row>
    <row r="85" spans="1:27" ht="15" customHeight="1" x14ac:dyDescent="0.25">
      <c r="A85" s="22">
        <f t="shared" si="5"/>
        <v>45733</v>
      </c>
      <c r="B85" s="23">
        <v>-74</v>
      </c>
      <c r="C85" s="23">
        <v>-23</v>
      </c>
      <c r="D85" s="23">
        <v>46</v>
      </c>
      <c r="E85" s="23">
        <v>100</v>
      </c>
      <c r="F85" s="23">
        <v>135</v>
      </c>
      <c r="G85" s="23">
        <v>153</v>
      </c>
      <c r="H85" s="23">
        <v>147</v>
      </c>
      <c r="I85" s="23">
        <v>110</v>
      </c>
      <c r="J85" s="23">
        <v>58</v>
      </c>
      <c r="K85" s="23">
        <v>10</v>
      </c>
      <c r="L85" s="23">
        <v>-25</v>
      </c>
      <c r="M85" s="23">
        <v>-50</v>
      </c>
      <c r="N85" s="23">
        <v>-58</v>
      </c>
      <c r="O85" s="23">
        <v>-10</v>
      </c>
      <c r="P85" s="23">
        <v>54</v>
      </c>
      <c r="Q85" s="23">
        <v>105</v>
      </c>
      <c r="R85" s="23">
        <v>136</v>
      </c>
      <c r="S85" s="23">
        <v>156</v>
      </c>
      <c r="T85" s="23">
        <v>152</v>
      </c>
      <c r="U85" s="23">
        <v>110</v>
      </c>
      <c r="V85" s="23">
        <v>63</v>
      </c>
      <c r="W85" s="23">
        <v>15</v>
      </c>
      <c r="X85" s="23">
        <v>-26</v>
      </c>
      <c r="Y85" s="23">
        <v>-55</v>
      </c>
      <c r="Z85" s="24">
        <f t="shared" si="3"/>
        <v>1229</v>
      </c>
      <c r="AA85" s="32">
        <f t="shared" si="4"/>
        <v>51.208333333333336</v>
      </c>
    </row>
    <row r="86" spans="1:27" ht="15" customHeight="1" x14ac:dyDescent="0.25">
      <c r="A86" s="22">
        <f t="shared" si="5"/>
        <v>45734</v>
      </c>
      <c r="B86" s="23">
        <v>-67</v>
      </c>
      <c r="C86" s="23">
        <v>-47</v>
      </c>
      <c r="D86" s="23">
        <v>22</v>
      </c>
      <c r="E86" s="23">
        <v>79</v>
      </c>
      <c r="F86" s="23">
        <v>120</v>
      </c>
      <c r="G86" s="23">
        <v>152</v>
      </c>
      <c r="H86" s="23">
        <v>160</v>
      </c>
      <c r="I86" s="23">
        <v>144</v>
      </c>
      <c r="J86" s="23">
        <v>95</v>
      </c>
      <c r="K86" s="23">
        <v>46</v>
      </c>
      <c r="L86" s="23">
        <v>7</v>
      </c>
      <c r="M86" s="23">
        <v>-17</v>
      </c>
      <c r="N86" s="23">
        <v>-27</v>
      </c>
      <c r="O86" s="23">
        <v>12</v>
      </c>
      <c r="P86" s="23">
        <v>64</v>
      </c>
      <c r="Q86" s="23">
        <v>108</v>
      </c>
      <c r="R86" s="23">
        <v>144</v>
      </c>
      <c r="S86" s="23">
        <v>168</v>
      </c>
      <c r="T86" s="23">
        <v>173</v>
      </c>
      <c r="U86" s="23">
        <v>148</v>
      </c>
      <c r="V86" s="23">
        <v>95</v>
      </c>
      <c r="W86" s="23">
        <v>43</v>
      </c>
      <c r="X86" s="23">
        <v>-3</v>
      </c>
      <c r="Y86" s="23">
        <v>-34</v>
      </c>
      <c r="Z86" s="24">
        <f t="shared" si="3"/>
        <v>1585</v>
      </c>
      <c r="AA86" s="32">
        <f t="shared" si="4"/>
        <v>66.041666666666671</v>
      </c>
    </row>
    <row r="87" spans="1:27" ht="15" customHeight="1" x14ac:dyDescent="0.25">
      <c r="A87" s="22">
        <f t="shared" si="5"/>
        <v>45735</v>
      </c>
      <c r="B87" s="23">
        <v>-50</v>
      </c>
      <c r="C87" s="23">
        <v>-36</v>
      </c>
      <c r="D87" s="23">
        <v>4</v>
      </c>
      <c r="E87" s="23">
        <v>57</v>
      </c>
      <c r="F87" s="23">
        <v>103</v>
      </c>
      <c r="G87" s="23">
        <v>138</v>
      </c>
      <c r="H87" s="23">
        <v>154</v>
      </c>
      <c r="I87" s="23">
        <v>150</v>
      </c>
      <c r="J87" s="23">
        <v>123</v>
      </c>
      <c r="K87" s="23">
        <v>87</v>
      </c>
      <c r="L87" s="23">
        <v>49</v>
      </c>
      <c r="M87" s="23">
        <v>25</v>
      </c>
      <c r="N87" s="23">
        <v>18</v>
      </c>
      <c r="O87" s="23">
        <v>36</v>
      </c>
      <c r="P87" s="23">
        <v>71</v>
      </c>
      <c r="Q87" s="23">
        <v>109</v>
      </c>
      <c r="R87" s="23">
        <v>138</v>
      </c>
      <c r="S87" s="23">
        <v>160</v>
      </c>
      <c r="T87" s="23">
        <v>163</v>
      </c>
      <c r="U87" s="23">
        <v>140</v>
      </c>
      <c r="V87" s="23">
        <v>106</v>
      </c>
      <c r="W87" s="23">
        <v>61</v>
      </c>
      <c r="X87" s="23">
        <v>18</v>
      </c>
      <c r="Y87" s="23">
        <v>-22</v>
      </c>
      <c r="Z87" s="24">
        <f t="shared" si="3"/>
        <v>1802</v>
      </c>
      <c r="AA87" s="32">
        <f t="shared" si="4"/>
        <v>75.083333333333329</v>
      </c>
    </row>
    <row r="88" spans="1:27" ht="15" customHeight="1" x14ac:dyDescent="0.25">
      <c r="A88" s="22">
        <f t="shared" si="5"/>
        <v>45736</v>
      </c>
      <c r="B88" s="23">
        <v>-49</v>
      </c>
      <c r="C88" s="23">
        <v>-57</v>
      </c>
      <c r="D88" s="23">
        <v>-28</v>
      </c>
      <c r="E88" s="23">
        <v>19</v>
      </c>
      <c r="F88" s="23">
        <v>66</v>
      </c>
      <c r="G88" s="23">
        <v>98</v>
      </c>
      <c r="H88" s="23">
        <v>123</v>
      </c>
      <c r="I88" s="23">
        <v>138</v>
      </c>
      <c r="J88" s="23">
        <v>131</v>
      </c>
      <c r="K88" s="23">
        <v>109</v>
      </c>
      <c r="L88" s="23">
        <v>77</v>
      </c>
      <c r="M88" s="23">
        <v>59</v>
      </c>
      <c r="N88" s="23">
        <v>54</v>
      </c>
      <c r="O88" s="23">
        <v>63</v>
      </c>
      <c r="P88" s="23">
        <v>85</v>
      </c>
      <c r="Q88" s="23">
        <v>109</v>
      </c>
      <c r="R88" s="23">
        <v>128</v>
      </c>
      <c r="S88" s="23">
        <v>151</v>
      </c>
      <c r="T88" s="23">
        <v>157</v>
      </c>
      <c r="U88" s="23">
        <v>140</v>
      </c>
      <c r="V88" s="23">
        <v>108</v>
      </c>
      <c r="W88" s="23">
        <v>70</v>
      </c>
      <c r="X88" s="23">
        <v>27</v>
      </c>
      <c r="Y88" s="23">
        <v>-15</v>
      </c>
      <c r="Z88" s="24">
        <f t="shared" si="3"/>
        <v>1763</v>
      </c>
      <c r="AA88" s="32">
        <f t="shared" si="4"/>
        <v>73.458333333333329</v>
      </c>
    </row>
    <row r="89" spans="1:27" ht="15" customHeight="1" x14ac:dyDescent="0.25">
      <c r="A89" s="22">
        <f t="shared" si="5"/>
        <v>45737</v>
      </c>
      <c r="B89" s="23">
        <v>-43</v>
      </c>
      <c r="C89" s="23">
        <v>-64</v>
      </c>
      <c r="D89" s="23">
        <v>-60</v>
      </c>
      <c r="E89" s="23">
        <v>-31</v>
      </c>
      <c r="F89" s="23">
        <v>12</v>
      </c>
      <c r="G89" s="23">
        <v>48</v>
      </c>
      <c r="H89" s="23">
        <v>79</v>
      </c>
      <c r="I89" s="23">
        <v>102</v>
      </c>
      <c r="J89" s="23">
        <v>112</v>
      </c>
      <c r="K89" s="23">
        <v>108</v>
      </c>
      <c r="L89" s="23">
        <v>96</v>
      </c>
      <c r="M89" s="23">
        <v>79</v>
      </c>
      <c r="N89" s="23">
        <v>73</v>
      </c>
      <c r="O89" s="23">
        <v>78</v>
      </c>
      <c r="P89" s="23">
        <v>89</v>
      </c>
      <c r="Q89" s="23">
        <v>104</v>
      </c>
      <c r="R89" s="23">
        <v>123</v>
      </c>
      <c r="S89" s="23">
        <v>135</v>
      </c>
      <c r="T89" s="23">
        <v>140</v>
      </c>
      <c r="U89" s="23">
        <v>133</v>
      </c>
      <c r="V89" s="23">
        <v>112</v>
      </c>
      <c r="W89" s="23">
        <v>82</v>
      </c>
      <c r="X89" s="23">
        <v>45</v>
      </c>
      <c r="Y89" s="23">
        <v>4</v>
      </c>
      <c r="Z89" s="24">
        <f t="shared" si="3"/>
        <v>1556</v>
      </c>
      <c r="AA89" s="32">
        <f t="shared" si="4"/>
        <v>64.833333333333329</v>
      </c>
    </row>
    <row r="90" spans="1:27" ht="15" customHeight="1" x14ac:dyDescent="0.25">
      <c r="A90" s="22">
        <f t="shared" si="5"/>
        <v>45738</v>
      </c>
      <c r="B90" s="23">
        <v>-31</v>
      </c>
      <c r="C90" s="23">
        <v>-51</v>
      </c>
      <c r="D90" s="23">
        <v>-64</v>
      </c>
      <c r="E90" s="23">
        <v>-49</v>
      </c>
      <c r="F90" s="23">
        <v>-20</v>
      </c>
      <c r="G90" s="23">
        <v>17</v>
      </c>
      <c r="H90" s="23">
        <v>56</v>
      </c>
      <c r="I90" s="23">
        <v>79</v>
      </c>
      <c r="J90" s="23">
        <v>98</v>
      </c>
      <c r="K90" s="23">
        <v>108</v>
      </c>
      <c r="L90" s="23">
        <v>116</v>
      </c>
      <c r="M90" s="23">
        <v>105</v>
      </c>
      <c r="N90" s="23">
        <v>98</v>
      </c>
      <c r="O90" s="23">
        <v>98</v>
      </c>
      <c r="P90" s="23">
        <v>107</v>
      </c>
      <c r="Q90" s="23">
        <v>115</v>
      </c>
      <c r="R90" s="23">
        <v>128</v>
      </c>
      <c r="S90" s="23">
        <v>139</v>
      </c>
      <c r="T90" s="23">
        <v>145</v>
      </c>
      <c r="U90" s="23">
        <v>140</v>
      </c>
      <c r="V90" s="23">
        <v>125</v>
      </c>
      <c r="W90" s="23">
        <v>102</v>
      </c>
      <c r="X90" s="23">
        <v>71</v>
      </c>
      <c r="Y90" s="23">
        <v>39</v>
      </c>
      <c r="Z90" s="24">
        <f t="shared" si="3"/>
        <v>1671</v>
      </c>
      <c r="AA90" s="32">
        <f t="shared" si="4"/>
        <v>69.625</v>
      </c>
    </row>
    <row r="91" spans="1:27" ht="15" customHeight="1" x14ac:dyDescent="0.25">
      <c r="A91" s="22">
        <f t="shared" si="5"/>
        <v>45739</v>
      </c>
      <c r="B91" s="23">
        <v>5</v>
      </c>
      <c r="C91" s="23">
        <v>-22</v>
      </c>
      <c r="D91" s="23">
        <v>-48</v>
      </c>
      <c r="E91" s="23">
        <v>-57</v>
      </c>
      <c r="F91" s="23">
        <v>-53</v>
      </c>
      <c r="G91" s="23">
        <v>-35</v>
      </c>
      <c r="H91" s="23">
        <v>-2</v>
      </c>
      <c r="I91" s="23">
        <v>29</v>
      </c>
      <c r="J91" s="23">
        <v>57</v>
      </c>
      <c r="K91" s="23">
        <v>82</v>
      </c>
      <c r="L91" s="23">
        <v>99</v>
      </c>
      <c r="M91" s="23">
        <v>116</v>
      </c>
      <c r="N91" s="23">
        <v>124</v>
      </c>
      <c r="O91" s="23">
        <v>125</v>
      </c>
      <c r="P91" s="23">
        <v>123</v>
      </c>
      <c r="Q91" s="23">
        <v>123</v>
      </c>
      <c r="R91" s="23">
        <v>126</v>
      </c>
      <c r="S91" s="23">
        <v>128</v>
      </c>
      <c r="T91" s="23">
        <v>127</v>
      </c>
      <c r="U91" s="23">
        <v>125</v>
      </c>
      <c r="V91" s="23">
        <v>117</v>
      </c>
      <c r="W91" s="23">
        <v>100</v>
      </c>
      <c r="X91" s="23">
        <v>79</v>
      </c>
      <c r="Y91" s="23">
        <v>50</v>
      </c>
      <c r="Z91" s="24">
        <f t="shared" si="3"/>
        <v>1518</v>
      </c>
      <c r="AA91" s="32">
        <f t="shared" si="4"/>
        <v>63.25</v>
      </c>
    </row>
    <row r="92" spans="1:27" ht="15" customHeight="1" x14ac:dyDescent="0.25">
      <c r="A92" s="22">
        <f t="shared" si="5"/>
        <v>45740</v>
      </c>
      <c r="B92" s="23">
        <v>21</v>
      </c>
      <c r="C92" s="23">
        <v>-9</v>
      </c>
      <c r="D92" s="23">
        <v>-39</v>
      </c>
      <c r="E92" s="23">
        <v>-64</v>
      </c>
      <c r="F92" s="23">
        <v>-78</v>
      </c>
      <c r="G92" s="23">
        <v>-81</v>
      </c>
      <c r="H92" s="23">
        <v>-62</v>
      </c>
      <c r="I92" s="23">
        <v>-32</v>
      </c>
      <c r="J92" s="23">
        <v>7</v>
      </c>
      <c r="K92" s="23">
        <v>42</v>
      </c>
      <c r="L92" s="23">
        <v>77</v>
      </c>
      <c r="M92" s="23">
        <v>104</v>
      </c>
      <c r="N92" s="23">
        <v>122</v>
      </c>
      <c r="O92" s="23">
        <v>131</v>
      </c>
      <c r="P92" s="23">
        <v>132</v>
      </c>
      <c r="Q92" s="23">
        <v>128</v>
      </c>
      <c r="R92" s="23">
        <v>122</v>
      </c>
      <c r="S92" s="23">
        <v>117</v>
      </c>
      <c r="T92" s="23">
        <v>110</v>
      </c>
      <c r="U92" s="23">
        <v>105</v>
      </c>
      <c r="V92" s="23">
        <v>100</v>
      </c>
      <c r="W92" s="23">
        <v>96</v>
      </c>
      <c r="X92" s="23">
        <v>89</v>
      </c>
      <c r="Y92" s="23">
        <v>71</v>
      </c>
      <c r="Z92" s="24">
        <f t="shared" si="3"/>
        <v>1209</v>
      </c>
      <c r="AA92" s="32">
        <f t="shared" si="4"/>
        <v>50.375</v>
      </c>
    </row>
    <row r="93" spans="1:27" ht="15" customHeight="1" x14ac:dyDescent="0.25">
      <c r="A93" s="22">
        <f t="shared" si="5"/>
        <v>45741</v>
      </c>
      <c r="B93" s="23">
        <v>52</v>
      </c>
      <c r="C93" s="23">
        <v>25</v>
      </c>
      <c r="D93" s="23">
        <v>-5</v>
      </c>
      <c r="E93" s="23">
        <v>-36</v>
      </c>
      <c r="F93" s="23">
        <v>-64</v>
      </c>
      <c r="G93" s="23">
        <v>-86</v>
      </c>
      <c r="H93" s="23">
        <v>-100</v>
      </c>
      <c r="I93" s="23">
        <v>-94</v>
      </c>
      <c r="J93" s="23">
        <v>-63</v>
      </c>
      <c r="K93" s="23">
        <v>-19</v>
      </c>
      <c r="L93" s="23">
        <v>32</v>
      </c>
      <c r="M93" s="23">
        <v>75</v>
      </c>
      <c r="N93" s="23">
        <v>113</v>
      </c>
      <c r="O93" s="23">
        <v>133</v>
      </c>
      <c r="P93" s="23">
        <v>139</v>
      </c>
      <c r="Q93" s="23">
        <v>133</v>
      </c>
      <c r="R93" s="23">
        <v>117</v>
      </c>
      <c r="S93" s="23">
        <v>98</v>
      </c>
      <c r="T93" s="23">
        <v>81</v>
      </c>
      <c r="U93" s="23">
        <v>69</v>
      </c>
      <c r="V93" s="23">
        <v>68</v>
      </c>
      <c r="W93" s="23">
        <v>74</v>
      </c>
      <c r="X93" s="23">
        <v>79</v>
      </c>
      <c r="Y93" s="23">
        <v>78</v>
      </c>
      <c r="Z93" s="24">
        <f t="shared" si="3"/>
        <v>899</v>
      </c>
      <c r="AA93" s="32">
        <f t="shared" si="4"/>
        <v>37.458333333333336</v>
      </c>
    </row>
    <row r="94" spans="1:27" ht="15" customHeight="1" x14ac:dyDescent="0.25">
      <c r="A94" s="22">
        <f t="shared" si="5"/>
        <v>45742</v>
      </c>
      <c r="B94" s="23">
        <v>72</v>
      </c>
      <c r="C94" s="23">
        <v>55</v>
      </c>
      <c r="D94" s="23">
        <v>26</v>
      </c>
      <c r="E94" s="23">
        <v>-7</v>
      </c>
      <c r="F94" s="23">
        <v>-43</v>
      </c>
      <c r="G94" s="23">
        <v>-75</v>
      </c>
      <c r="H94" s="23">
        <v>-102</v>
      </c>
      <c r="I94" s="23">
        <v>-124</v>
      </c>
      <c r="J94" s="23">
        <v>-124</v>
      </c>
      <c r="K94" s="23">
        <v>-88</v>
      </c>
      <c r="L94" s="23">
        <v>-25</v>
      </c>
      <c r="M94" s="23">
        <v>32</v>
      </c>
      <c r="N94" s="23">
        <v>79</v>
      </c>
      <c r="O94" s="23">
        <v>119</v>
      </c>
      <c r="P94" s="23">
        <v>138</v>
      </c>
      <c r="Q94" s="23">
        <v>139</v>
      </c>
      <c r="R94" s="23">
        <v>123</v>
      </c>
      <c r="S94" s="23">
        <v>91</v>
      </c>
      <c r="T94" s="23">
        <v>61</v>
      </c>
      <c r="U94" s="23">
        <v>39</v>
      </c>
      <c r="V94" s="23">
        <v>29</v>
      </c>
      <c r="W94" s="23">
        <v>36</v>
      </c>
      <c r="X94" s="23">
        <v>59</v>
      </c>
      <c r="Y94" s="23">
        <v>82</v>
      </c>
      <c r="Z94" s="24">
        <f t="shared" si="3"/>
        <v>592</v>
      </c>
      <c r="AA94" s="32">
        <f t="shared" si="4"/>
        <v>24.666666666666668</v>
      </c>
    </row>
    <row r="95" spans="1:27" ht="15" customHeight="1" x14ac:dyDescent="0.25">
      <c r="A95" s="22">
        <f t="shared" si="5"/>
        <v>45743</v>
      </c>
      <c r="B95" s="23">
        <v>92</v>
      </c>
      <c r="C95" s="23">
        <v>94</v>
      </c>
      <c r="D95" s="23">
        <v>73</v>
      </c>
      <c r="E95" s="23">
        <v>45</v>
      </c>
      <c r="F95" s="23">
        <v>6</v>
      </c>
      <c r="G95" s="23">
        <v>-36</v>
      </c>
      <c r="H95" s="23">
        <v>-74</v>
      </c>
      <c r="I95" s="23">
        <v>-107</v>
      </c>
      <c r="J95" s="23">
        <v>-124</v>
      </c>
      <c r="K95" s="23">
        <v>-127</v>
      </c>
      <c r="L95" s="23">
        <v>-78</v>
      </c>
      <c r="M95" s="23">
        <v>-3</v>
      </c>
      <c r="N95" s="23">
        <v>57</v>
      </c>
      <c r="O95" s="23">
        <v>99</v>
      </c>
      <c r="P95" s="23">
        <v>133</v>
      </c>
      <c r="Q95" s="23">
        <v>142</v>
      </c>
      <c r="R95" s="23">
        <v>129</v>
      </c>
      <c r="S95" s="23">
        <v>95</v>
      </c>
      <c r="T95" s="23">
        <v>59</v>
      </c>
      <c r="U95" s="23">
        <v>17</v>
      </c>
      <c r="V95" s="23">
        <v>-6</v>
      </c>
      <c r="W95" s="23">
        <v>-8</v>
      </c>
      <c r="X95" s="23">
        <v>20</v>
      </c>
      <c r="Y95" s="23">
        <v>61</v>
      </c>
      <c r="Z95" s="24">
        <f t="shared" si="3"/>
        <v>559</v>
      </c>
      <c r="AA95" s="32">
        <f t="shared" si="4"/>
        <v>23.291666666666668</v>
      </c>
    </row>
    <row r="96" spans="1:27" ht="15" customHeight="1" x14ac:dyDescent="0.25">
      <c r="A96" s="22">
        <f t="shared" si="5"/>
        <v>45744</v>
      </c>
      <c r="B96" s="23">
        <v>99</v>
      </c>
      <c r="C96" s="23">
        <v>121</v>
      </c>
      <c r="D96" s="23">
        <v>128</v>
      </c>
      <c r="E96" s="23">
        <v>109</v>
      </c>
      <c r="F96" s="23">
        <v>62</v>
      </c>
      <c r="G96" s="23">
        <v>14</v>
      </c>
      <c r="H96" s="23">
        <v>-32</v>
      </c>
      <c r="I96" s="23">
        <v>-74</v>
      </c>
      <c r="J96" s="23">
        <v>-109</v>
      </c>
      <c r="K96" s="23">
        <v>-129</v>
      </c>
      <c r="L96" s="23">
        <v>-126</v>
      </c>
      <c r="M96" s="23">
        <v>-50</v>
      </c>
      <c r="N96" s="23">
        <v>25</v>
      </c>
      <c r="O96" s="23">
        <v>81</v>
      </c>
      <c r="P96" s="23">
        <v>119</v>
      </c>
      <c r="Q96" s="23">
        <v>145</v>
      </c>
      <c r="R96" s="23">
        <v>137</v>
      </c>
      <c r="S96" s="23">
        <v>103</v>
      </c>
      <c r="T96" s="23">
        <v>57</v>
      </c>
      <c r="U96" s="23">
        <v>9</v>
      </c>
      <c r="V96" s="23">
        <v>-26</v>
      </c>
      <c r="W96" s="23">
        <v>-50</v>
      </c>
      <c r="X96" s="23">
        <v>-50</v>
      </c>
      <c r="Y96" s="23">
        <v>3</v>
      </c>
      <c r="Z96" s="24">
        <f t="shared" si="3"/>
        <v>566</v>
      </c>
      <c r="AA96" s="32">
        <f t="shared" si="4"/>
        <v>23.583333333333332</v>
      </c>
    </row>
    <row r="97" spans="1:28" ht="15" customHeight="1" x14ac:dyDescent="0.25">
      <c r="A97" s="22">
        <f t="shared" si="5"/>
        <v>45745</v>
      </c>
      <c r="B97" s="23">
        <v>66</v>
      </c>
      <c r="C97" s="23">
        <v>114</v>
      </c>
      <c r="D97" s="23">
        <v>142</v>
      </c>
      <c r="E97" s="23">
        <v>147</v>
      </c>
      <c r="F97" s="23">
        <v>121</v>
      </c>
      <c r="G97" s="23">
        <v>68</v>
      </c>
      <c r="H97" s="23">
        <v>14</v>
      </c>
      <c r="I97" s="23">
        <v>-32</v>
      </c>
      <c r="J97" s="23">
        <v>-67</v>
      </c>
      <c r="K97" s="23">
        <v>-97</v>
      </c>
      <c r="L97" s="23">
        <v>-115</v>
      </c>
      <c r="M97" s="23">
        <v>-93</v>
      </c>
      <c r="N97" s="23">
        <v>0</v>
      </c>
      <c r="O97" s="23">
        <v>70</v>
      </c>
      <c r="P97" s="23">
        <v>116</v>
      </c>
      <c r="Q97" s="23">
        <v>147</v>
      </c>
      <c r="R97" s="23">
        <v>153</v>
      </c>
      <c r="S97" s="23">
        <v>128</v>
      </c>
      <c r="T97" s="23">
        <v>75</v>
      </c>
      <c r="U97" s="23">
        <v>23</v>
      </c>
      <c r="V97" s="23">
        <v>-21</v>
      </c>
      <c r="W97" s="23">
        <v>-51</v>
      </c>
      <c r="X97" s="23">
        <v>-68</v>
      </c>
      <c r="Y97" s="23">
        <v>-59</v>
      </c>
      <c r="Z97" s="24">
        <f t="shared" si="3"/>
        <v>781</v>
      </c>
      <c r="AA97" s="32">
        <f t="shared" si="4"/>
        <v>32.541666666666664</v>
      </c>
    </row>
    <row r="98" spans="1:28" ht="15" customHeight="1" x14ac:dyDescent="0.25">
      <c r="A98" s="22">
        <f t="shared" si="5"/>
        <v>45746</v>
      </c>
      <c r="B98" s="23">
        <v>20</v>
      </c>
      <c r="C98" s="23">
        <v>93</v>
      </c>
      <c r="D98" s="23">
        <v>141</v>
      </c>
      <c r="E98" s="23">
        <v>162</v>
      </c>
      <c r="F98" s="23">
        <v>167</v>
      </c>
      <c r="G98" s="23">
        <v>140</v>
      </c>
      <c r="H98" s="23">
        <v>85</v>
      </c>
      <c r="I98" s="23">
        <v>24</v>
      </c>
      <c r="J98" s="23">
        <v>-22</v>
      </c>
      <c r="K98" s="23">
        <v>-59</v>
      </c>
      <c r="L98" s="23">
        <v>-85</v>
      </c>
      <c r="M98" s="23">
        <v>-86</v>
      </c>
      <c r="N98" s="23">
        <v>-17</v>
      </c>
      <c r="O98" s="23">
        <v>65</v>
      </c>
      <c r="P98" s="23">
        <v>118</v>
      </c>
      <c r="Q98" s="23">
        <v>153</v>
      </c>
      <c r="R98" s="23">
        <v>175</v>
      </c>
      <c r="S98" s="23">
        <v>159</v>
      </c>
      <c r="T98" s="23">
        <v>110</v>
      </c>
      <c r="U98" s="23">
        <v>50</v>
      </c>
      <c r="V98" s="23">
        <v>0</v>
      </c>
      <c r="W98" s="23">
        <v>-41</v>
      </c>
      <c r="X98" s="23">
        <v>-72</v>
      </c>
      <c r="Y98" s="23">
        <v>-86</v>
      </c>
      <c r="Z98" s="24">
        <f t="shared" si="3"/>
        <v>1194</v>
      </c>
      <c r="AA98" s="32">
        <f t="shared" si="4"/>
        <v>49.75</v>
      </c>
    </row>
    <row r="99" spans="1:28" ht="15" customHeight="1" x14ac:dyDescent="0.25">
      <c r="A99" s="40">
        <f t="shared" si="5"/>
        <v>45747</v>
      </c>
      <c r="B99" s="25">
        <v>-55</v>
      </c>
      <c r="C99" s="25">
        <v>43</v>
      </c>
      <c r="D99" s="25">
        <v>106</v>
      </c>
      <c r="E99" s="25">
        <v>155</v>
      </c>
      <c r="F99" s="25">
        <v>185</v>
      </c>
      <c r="G99" s="25">
        <v>189</v>
      </c>
      <c r="H99" s="25">
        <v>147</v>
      </c>
      <c r="I99" s="25">
        <v>84</v>
      </c>
      <c r="J99" s="25">
        <v>31</v>
      </c>
      <c r="K99" s="25">
        <v>-14</v>
      </c>
      <c r="L99" s="25">
        <v>-47</v>
      </c>
      <c r="M99" s="25">
        <v>-61</v>
      </c>
      <c r="N99" s="25">
        <v>-39</v>
      </c>
      <c r="O99" s="25">
        <v>29</v>
      </c>
      <c r="P99" s="25">
        <v>101</v>
      </c>
      <c r="Q99" s="25">
        <v>149</v>
      </c>
      <c r="R99" s="25">
        <v>176</v>
      </c>
      <c r="S99" s="25">
        <v>180</v>
      </c>
      <c r="T99" s="25">
        <v>137</v>
      </c>
      <c r="U99" s="25">
        <v>73</v>
      </c>
      <c r="V99" s="25">
        <v>20</v>
      </c>
      <c r="W99" s="25">
        <v>-28</v>
      </c>
      <c r="X99" s="25">
        <v>-66</v>
      </c>
      <c r="Y99" s="25">
        <v>-92</v>
      </c>
      <c r="Z99" s="37">
        <f t="shared" si="3"/>
        <v>1403</v>
      </c>
      <c r="AA99" s="37">
        <f t="shared" si="4"/>
        <v>58.458333333333336</v>
      </c>
    </row>
    <row r="100" spans="1:28" ht="15" customHeight="1" x14ac:dyDescent="0.25">
      <c r="A100" s="26">
        <v>45748</v>
      </c>
      <c r="B100" s="41">
        <v>-102</v>
      </c>
      <c r="C100" s="42">
        <v>-50</v>
      </c>
      <c r="D100" s="42">
        <v>48</v>
      </c>
      <c r="E100" s="42">
        <v>110</v>
      </c>
      <c r="F100" s="42">
        <v>159</v>
      </c>
      <c r="G100" s="42">
        <v>184</v>
      </c>
      <c r="H100" s="42">
        <v>183</v>
      </c>
      <c r="I100" s="42">
        <v>140</v>
      </c>
      <c r="J100" s="42">
        <v>86</v>
      </c>
      <c r="K100" s="42">
        <v>35</v>
      </c>
      <c r="L100" s="42">
        <v>-2</v>
      </c>
      <c r="M100" s="42">
        <v>-27</v>
      </c>
      <c r="N100" s="42">
        <v>-24</v>
      </c>
      <c r="O100" s="42">
        <v>37</v>
      </c>
      <c r="P100" s="42">
        <v>100</v>
      </c>
      <c r="Q100" s="42">
        <v>151</v>
      </c>
      <c r="R100" s="42">
        <v>184</v>
      </c>
      <c r="S100" s="42">
        <v>199</v>
      </c>
      <c r="T100" s="42">
        <v>180</v>
      </c>
      <c r="U100" s="42">
        <v>128</v>
      </c>
      <c r="V100" s="42">
        <v>62</v>
      </c>
      <c r="W100" s="42">
        <v>6</v>
      </c>
      <c r="X100" s="42">
        <v>-41</v>
      </c>
      <c r="Y100" s="43">
        <v>-75</v>
      </c>
      <c r="Z100" s="27">
        <v>1671</v>
      </c>
      <c r="AA100" s="27">
        <v>70</v>
      </c>
      <c r="AB100" s="2">
        <f>MAX(B100:Y100)</f>
        <v>199</v>
      </c>
    </row>
    <row r="101" spans="1:28" ht="15" customHeight="1" x14ac:dyDescent="0.25">
      <c r="A101" s="26">
        <v>45749</v>
      </c>
      <c r="B101" s="28">
        <v>-98</v>
      </c>
      <c r="C101" s="29">
        <v>-98</v>
      </c>
      <c r="D101" s="29">
        <v>-22</v>
      </c>
      <c r="E101" s="29">
        <v>55</v>
      </c>
      <c r="F101" s="29">
        <v>110</v>
      </c>
      <c r="G101" s="29">
        <v>153</v>
      </c>
      <c r="H101" s="29">
        <v>178</v>
      </c>
      <c r="I101" s="29">
        <v>174</v>
      </c>
      <c r="J101" s="29">
        <v>144</v>
      </c>
      <c r="K101" s="29">
        <v>101</v>
      </c>
      <c r="L101" s="29">
        <v>68</v>
      </c>
      <c r="M101" s="29">
        <v>47</v>
      </c>
      <c r="N101" s="29">
        <v>43</v>
      </c>
      <c r="O101" s="29">
        <v>71</v>
      </c>
      <c r="P101" s="29">
        <v>116</v>
      </c>
      <c r="Q101" s="29">
        <v>156</v>
      </c>
      <c r="R101" s="29">
        <v>190</v>
      </c>
      <c r="S101" s="29">
        <v>206</v>
      </c>
      <c r="T101" s="29">
        <v>194</v>
      </c>
      <c r="U101" s="29">
        <v>154</v>
      </c>
      <c r="V101" s="29">
        <v>97</v>
      </c>
      <c r="W101" s="29">
        <v>40</v>
      </c>
      <c r="X101" s="29">
        <v>-10</v>
      </c>
      <c r="Y101" s="30">
        <v>-48</v>
      </c>
      <c r="Z101" s="24">
        <v>2021</v>
      </c>
      <c r="AA101" s="24">
        <v>84</v>
      </c>
      <c r="AB101" s="2">
        <f t="shared" ref="AB101:AB164" si="6">MAX(B101:Y101)</f>
        <v>206</v>
      </c>
    </row>
    <row r="102" spans="1:28" ht="15" customHeight="1" x14ac:dyDescent="0.25">
      <c r="A102" s="26">
        <v>45750</v>
      </c>
      <c r="B102" s="28">
        <v>-77</v>
      </c>
      <c r="C102" s="29">
        <v>-92</v>
      </c>
      <c r="D102" s="29">
        <v>-79</v>
      </c>
      <c r="E102" s="29">
        <v>-8</v>
      </c>
      <c r="F102" s="29">
        <v>55</v>
      </c>
      <c r="G102" s="29">
        <v>104</v>
      </c>
      <c r="H102" s="29">
        <v>138</v>
      </c>
      <c r="I102" s="29">
        <v>163</v>
      </c>
      <c r="J102" s="29">
        <v>163</v>
      </c>
      <c r="K102" s="29">
        <v>142</v>
      </c>
      <c r="L102" s="29">
        <v>107</v>
      </c>
      <c r="M102" s="29">
        <v>82</v>
      </c>
      <c r="N102" s="29">
        <v>75</v>
      </c>
      <c r="O102" s="29">
        <v>73</v>
      </c>
      <c r="P102" s="29">
        <v>99</v>
      </c>
      <c r="Q102" s="29">
        <v>133</v>
      </c>
      <c r="R102" s="29">
        <v>164</v>
      </c>
      <c r="S102" s="29">
        <v>180</v>
      </c>
      <c r="T102" s="29">
        <v>180</v>
      </c>
      <c r="U102" s="29">
        <v>156</v>
      </c>
      <c r="V102" s="29">
        <v>113</v>
      </c>
      <c r="W102" s="29">
        <v>63</v>
      </c>
      <c r="X102" s="29">
        <v>15</v>
      </c>
      <c r="Y102" s="30">
        <v>-29</v>
      </c>
      <c r="Z102" s="24">
        <v>1920</v>
      </c>
      <c r="AA102" s="24">
        <v>80</v>
      </c>
      <c r="AB102" s="2">
        <f t="shared" si="6"/>
        <v>180</v>
      </c>
    </row>
    <row r="103" spans="1:28" ht="15" customHeight="1" x14ac:dyDescent="0.25">
      <c r="A103" s="26">
        <v>45751</v>
      </c>
      <c r="B103" s="28">
        <v>-63</v>
      </c>
      <c r="C103" s="29">
        <v>-90</v>
      </c>
      <c r="D103" s="29">
        <v>-96</v>
      </c>
      <c r="E103" s="29">
        <v>-77</v>
      </c>
      <c r="F103" s="29">
        <v>-16</v>
      </c>
      <c r="G103" s="29">
        <v>40</v>
      </c>
      <c r="H103" s="29">
        <v>87</v>
      </c>
      <c r="I103" s="29">
        <v>124</v>
      </c>
      <c r="J103" s="29">
        <v>143</v>
      </c>
      <c r="K103" s="29">
        <v>150</v>
      </c>
      <c r="L103" s="29">
        <v>140</v>
      </c>
      <c r="M103" s="29">
        <v>124</v>
      </c>
      <c r="N103" s="29">
        <v>108</v>
      </c>
      <c r="O103" s="29">
        <v>103</v>
      </c>
      <c r="P103" s="29">
        <v>106</v>
      </c>
      <c r="Q103" s="29">
        <v>120</v>
      </c>
      <c r="R103" s="29">
        <v>139</v>
      </c>
      <c r="S103" s="29">
        <v>152</v>
      </c>
      <c r="T103" s="29">
        <v>154</v>
      </c>
      <c r="U103" s="29">
        <v>138</v>
      </c>
      <c r="V103" s="29">
        <v>115</v>
      </c>
      <c r="W103" s="29">
        <v>78</v>
      </c>
      <c r="X103" s="29">
        <v>34</v>
      </c>
      <c r="Y103" s="30">
        <v>-12</v>
      </c>
      <c r="Z103" s="24">
        <v>1701</v>
      </c>
      <c r="AA103" s="24">
        <v>71</v>
      </c>
      <c r="AB103" s="2">
        <f t="shared" si="6"/>
        <v>154</v>
      </c>
    </row>
    <row r="104" spans="1:28" ht="15" customHeight="1" x14ac:dyDescent="0.25">
      <c r="A104" s="26">
        <v>45752</v>
      </c>
      <c r="B104" s="28">
        <v>-52</v>
      </c>
      <c r="C104" s="29">
        <v>-82</v>
      </c>
      <c r="D104" s="29">
        <v>-103</v>
      </c>
      <c r="E104" s="29">
        <v>-112</v>
      </c>
      <c r="F104" s="29">
        <v>-97</v>
      </c>
      <c r="G104" s="29">
        <v>-42</v>
      </c>
      <c r="H104" s="29">
        <v>11</v>
      </c>
      <c r="I104" s="29">
        <v>53</v>
      </c>
      <c r="J104" s="29">
        <v>88</v>
      </c>
      <c r="K104" s="29">
        <v>117</v>
      </c>
      <c r="L104" s="29">
        <v>128</v>
      </c>
      <c r="M104" s="29">
        <v>130</v>
      </c>
      <c r="N104" s="29">
        <v>124</v>
      </c>
      <c r="O104" s="29">
        <v>112</v>
      </c>
      <c r="P104" s="29">
        <v>105</v>
      </c>
      <c r="Q104" s="29">
        <v>100</v>
      </c>
      <c r="R104" s="29">
        <v>107</v>
      </c>
      <c r="S104" s="29">
        <v>114</v>
      </c>
      <c r="T104" s="29">
        <v>118</v>
      </c>
      <c r="U104" s="29">
        <v>115</v>
      </c>
      <c r="V104" s="29">
        <v>102</v>
      </c>
      <c r="W104" s="29">
        <v>80</v>
      </c>
      <c r="X104" s="29">
        <v>52</v>
      </c>
      <c r="Y104" s="30">
        <v>18</v>
      </c>
      <c r="Z104" s="24">
        <v>1186</v>
      </c>
      <c r="AA104" s="24">
        <v>49</v>
      </c>
      <c r="AB104" s="2">
        <f t="shared" si="6"/>
        <v>130</v>
      </c>
    </row>
    <row r="105" spans="1:28" ht="15" customHeight="1" x14ac:dyDescent="0.25">
      <c r="A105" s="26">
        <v>45753</v>
      </c>
      <c r="B105" s="28">
        <v>-21</v>
      </c>
      <c r="C105" s="29">
        <v>-60</v>
      </c>
      <c r="D105" s="29">
        <v>-89</v>
      </c>
      <c r="E105" s="29">
        <v>-109</v>
      </c>
      <c r="F105" s="29">
        <v>-119</v>
      </c>
      <c r="G105" s="29">
        <v>-112</v>
      </c>
      <c r="H105" s="29">
        <v>-73</v>
      </c>
      <c r="I105" s="29">
        <v>-25</v>
      </c>
      <c r="J105" s="29">
        <v>21</v>
      </c>
      <c r="K105" s="29">
        <v>61</v>
      </c>
      <c r="L105" s="29">
        <v>96</v>
      </c>
      <c r="M105" s="29">
        <v>119</v>
      </c>
      <c r="N105" s="29">
        <v>133</v>
      </c>
      <c r="O105" s="29">
        <v>132</v>
      </c>
      <c r="P105" s="29">
        <v>120</v>
      </c>
      <c r="Q105" s="29">
        <v>111</v>
      </c>
      <c r="R105" s="29">
        <v>103</v>
      </c>
      <c r="S105" s="29">
        <v>95</v>
      </c>
      <c r="T105" s="29">
        <v>91</v>
      </c>
      <c r="U105" s="29">
        <v>94</v>
      </c>
      <c r="V105" s="29">
        <v>93</v>
      </c>
      <c r="W105" s="29">
        <v>88</v>
      </c>
      <c r="X105" s="29">
        <v>73</v>
      </c>
      <c r="Y105" s="30">
        <v>60</v>
      </c>
      <c r="Z105" s="24">
        <v>882</v>
      </c>
      <c r="AA105" s="24">
        <v>37</v>
      </c>
      <c r="AB105" s="2">
        <f t="shared" si="6"/>
        <v>133</v>
      </c>
    </row>
    <row r="106" spans="1:28" ht="15" customHeight="1" x14ac:dyDescent="0.25">
      <c r="A106" s="26">
        <v>45754</v>
      </c>
      <c r="B106" s="28">
        <v>32</v>
      </c>
      <c r="C106" s="29">
        <v>2</v>
      </c>
      <c r="D106" s="29">
        <v>-30</v>
      </c>
      <c r="E106" s="29">
        <v>-59</v>
      </c>
      <c r="F106" s="29">
        <v>-85</v>
      </c>
      <c r="G106" s="29">
        <v>-100</v>
      </c>
      <c r="H106" s="29">
        <v>-99</v>
      </c>
      <c r="I106" s="29">
        <v>-71</v>
      </c>
      <c r="J106" s="29">
        <v>-26</v>
      </c>
      <c r="K106" s="29">
        <v>22</v>
      </c>
      <c r="L106" s="29">
        <v>64</v>
      </c>
      <c r="M106" s="29">
        <v>104</v>
      </c>
      <c r="N106" s="29">
        <v>129</v>
      </c>
      <c r="O106" s="29">
        <v>141</v>
      </c>
      <c r="P106" s="29">
        <v>142</v>
      </c>
      <c r="Q106" s="29">
        <v>128</v>
      </c>
      <c r="R106" s="29">
        <v>108</v>
      </c>
      <c r="S106" s="29">
        <v>92</v>
      </c>
      <c r="T106" s="29">
        <v>74</v>
      </c>
      <c r="U106" s="29">
        <v>67</v>
      </c>
      <c r="V106" s="29">
        <v>74</v>
      </c>
      <c r="W106" s="29">
        <v>80</v>
      </c>
      <c r="X106" s="29">
        <v>83</v>
      </c>
      <c r="Y106" s="30">
        <v>77</v>
      </c>
      <c r="Z106" s="24">
        <v>949</v>
      </c>
      <c r="AA106" s="24">
        <v>40</v>
      </c>
      <c r="AB106" s="2">
        <f t="shared" si="6"/>
        <v>142</v>
      </c>
    </row>
    <row r="107" spans="1:28" ht="15" customHeight="1" x14ac:dyDescent="0.25">
      <c r="A107" s="26">
        <v>45755</v>
      </c>
      <c r="B107" s="28">
        <v>77</v>
      </c>
      <c r="C107" s="29">
        <v>59</v>
      </c>
      <c r="D107" s="29">
        <v>23</v>
      </c>
      <c r="E107" s="29">
        <v>-13</v>
      </c>
      <c r="F107" s="29">
        <v>-50</v>
      </c>
      <c r="G107" s="29">
        <v>-77</v>
      </c>
      <c r="H107" s="29">
        <v>-94</v>
      </c>
      <c r="I107" s="29">
        <v>-97</v>
      </c>
      <c r="J107" s="29">
        <v>-70</v>
      </c>
      <c r="K107" s="29">
        <v>-20</v>
      </c>
      <c r="L107" s="29">
        <v>28</v>
      </c>
      <c r="M107" s="29">
        <v>74</v>
      </c>
      <c r="N107" s="29">
        <v>110</v>
      </c>
      <c r="O107" s="29">
        <v>136</v>
      </c>
      <c r="P107" s="29">
        <v>139</v>
      </c>
      <c r="Q107" s="29">
        <v>134</v>
      </c>
      <c r="R107" s="29">
        <v>113</v>
      </c>
      <c r="S107" s="29">
        <v>82</v>
      </c>
      <c r="T107" s="29">
        <v>53</v>
      </c>
      <c r="U107" s="29">
        <v>40</v>
      </c>
      <c r="V107" s="29">
        <v>31</v>
      </c>
      <c r="W107" s="29">
        <v>50</v>
      </c>
      <c r="X107" s="29">
        <v>66</v>
      </c>
      <c r="Y107" s="30">
        <v>75</v>
      </c>
      <c r="Z107" s="24">
        <v>869</v>
      </c>
      <c r="AA107" s="24">
        <v>36</v>
      </c>
      <c r="AB107" s="2">
        <f t="shared" si="6"/>
        <v>139</v>
      </c>
    </row>
    <row r="108" spans="1:28" ht="15" customHeight="1" x14ac:dyDescent="0.25">
      <c r="A108" s="26">
        <v>45756</v>
      </c>
      <c r="B108" s="28">
        <v>83</v>
      </c>
      <c r="C108" s="29">
        <v>81</v>
      </c>
      <c r="D108" s="29">
        <v>58</v>
      </c>
      <c r="E108" s="29">
        <v>30</v>
      </c>
      <c r="F108" s="29">
        <v>-10</v>
      </c>
      <c r="G108" s="29">
        <v>-46</v>
      </c>
      <c r="H108" s="29">
        <v>-81</v>
      </c>
      <c r="I108" s="29">
        <v>-103</v>
      </c>
      <c r="J108" s="29">
        <v>-103</v>
      </c>
      <c r="K108" s="29">
        <v>-64</v>
      </c>
      <c r="L108" s="29">
        <v>-7</v>
      </c>
      <c r="M108" s="29">
        <v>48</v>
      </c>
      <c r="N108" s="29">
        <v>92</v>
      </c>
      <c r="O108" s="29">
        <v>123</v>
      </c>
      <c r="P108" s="29">
        <v>142</v>
      </c>
      <c r="Q108" s="29">
        <v>137</v>
      </c>
      <c r="R108" s="29">
        <v>108</v>
      </c>
      <c r="S108" s="29">
        <v>72</v>
      </c>
      <c r="T108" s="29">
        <v>37</v>
      </c>
      <c r="U108" s="29">
        <v>10</v>
      </c>
      <c r="V108" s="29">
        <v>-5</v>
      </c>
      <c r="W108" s="29">
        <v>-3</v>
      </c>
      <c r="X108" s="29">
        <v>21</v>
      </c>
      <c r="Y108" s="30">
        <v>56</v>
      </c>
      <c r="Z108" s="24">
        <v>676</v>
      </c>
      <c r="AA108" s="24">
        <v>28</v>
      </c>
      <c r="AB108" s="2">
        <f t="shared" si="6"/>
        <v>142</v>
      </c>
    </row>
    <row r="109" spans="1:28" ht="15" customHeight="1" x14ac:dyDescent="0.25">
      <c r="A109" s="26">
        <v>45757</v>
      </c>
      <c r="B109" s="28">
        <v>86</v>
      </c>
      <c r="C109" s="29">
        <v>98</v>
      </c>
      <c r="D109" s="29">
        <v>100</v>
      </c>
      <c r="E109" s="29">
        <v>79</v>
      </c>
      <c r="F109" s="29">
        <v>36</v>
      </c>
      <c r="G109" s="29">
        <v>-6</v>
      </c>
      <c r="H109" s="29">
        <v>-45</v>
      </c>
      <c r="I109" s="29">
        <v>-81</v>
      </c>
      <c r="J109" s="29">
        <v>-104</v>
      </c>
      <c r="K109" s="29">
        <v>-106</v>
      </c>
      <c r="L109" s="29">
        <v>-62</v>
      </c>
      <c r="M109" s="29">
        <v>6</v>
      </c>
      <c r="N109" s="29">
        <v>64</v>
      </c>
      <c r="O109" s="29">
        <v>107</v>
      </c>
      <c r="P109" s="29">
        <v>135</v>
      </c>
      <c r="Q109" s="29">
        <v>139</v>
      </c>
      <c r="R109" s="29">
        <v>119</v>
      </c>
      <c r="S109" s="29">
        <v>80</v>
      </c>
      <c r="T109" s="29">
        <v>36</v>
      </c>
      <c r="U109" s="29">
        <v>-5</v>
      </c>
      <c r="V109" s="29">
        <v>-32</v>
      </c>
      <c r="W109" s="29">
        <v>-48</v>
      </c>
      <c r="X109" s="29">
        <v>-34</v>
      </c>
      <c r="Y109" s="30">
        <v>10</v>
      </c>
      <c r="Z109" s="24">
        <v>572</v>
      </c>
      <c r="AA109" s="24">
        <v>24</v>
      </c>
      <c r="AB109" s="2">
        <f t="shared" si="6"/>
        <v>139</v>
      </c>
    </row>
    <row r="110" spans="1:28" ht="15" customHeight="1" x14ac:dyDescent="0.25">
      <c r="A110" s="26">
        <v>45758</v>
      </c>
      <c r="B110" s="28">
        <v>59</v>
      </c>
      <c r="C110" s="29">
        <v>98</v>
      </c>
      <c r="D110" s="29">
        <v>116</v>
      </c>
      <c r="E110" s="29">
        <v>118</v>
      </c>
      <c r="F110" s="29">
        <v>89</v>
      </c>
      <c r="G110" s="29">
        <v>41</v>
      </c>
      <c r="H110" s="29">
        <v>-3</v>
      </c>
      <c r="I110" s="29">
        <v>-43</v>
      </c>
      <c r="J110" s="29">
        <v>-78</v>
      </c>
      <c r="K110" s="29">
        <v>-99</v>
      </c>
      <c r="L110" s="29">
        <v>-92</v>
      </c>
      <c r="M110" s="29">
        <v>-25</v>
      </c>
      <c r="N110" s="29">
        <v>42</v>
      </c>
      <c r="O110" s="29">
        <v>93</v>
      </c>
      <c r="P110" s="29">
        <v>122</v>
      </c>
      <c r="Q110" s="29">
        <v>141</v>
      </c>
      <c r="R110" s="29">
        <v>129</v>
      </c>
      <c r="S110" s="29">
        <v>90</v>
      </c>
      <c r="T110" s="29">
        <v>41</v>
      </c>
      <c r="U110" s="29">
        <v>-4</v>
      </c>
      <c r="V110" s="29">
        <v>-39</v>
      </c>
      <c r="W110" s="29">
        <v>-65</v>
      </c>
      <c r="X110" s="29">
        <v>-72</v>
      </c>
      <c r="Y110" s="30">
        <v>-42</v>
      </c>
      <c r="Z110" s="24">
        <v>617</v>
      </c>
      <c r="AA110" s="24">
        <v>26</v>
      </c>
      <c r="AB110" s="2">
        <f t="shared" si="6"/>
        <v>141</v>
      </c>
    </row>
    <row r="111" spans="1:28" ht="15" customHeight="1" x14ac:dyDescent="0.25">
      <c r="A111" s="26">
        <v>45759</v>
      </c>
      <c r="B111" s="28">
        <v>20</v>
      </c>
      <c r="C111" s="29">
        <v>71</v>
      </c>
      <c r="D111" s="29">
        <v>104</v>
      </c>
      <c r="E111" s="29">
        <v>123</v>
      </c>
      <c r="F111" s="29">
        <v>115</v>
      </c>
      <c r="G111" s="29">
        <v>78</v>
      </c>
      <c r="H111" s="29">
        <v>32</v>
      </c>
      <c r="I111" s="29">
        <v>-11</v>
      </c>
      <c r="J111" s="29">
        <v>-48</v>
      </c>
      <c r="K111" s="29">
        <v>-73</v>
      </c>
      <c r="L111" s="29">
        <v>-81</v>
      </c>
      <c r="M111" s="29">
        <v>-41</v>
      </c>
      <c r="N111" s="29">
        <v>22</v>
      </c>
      <c r="O111" s="29">
        <v>78</v>
      </c>
      <c r="P111" s="29">
        <v>115</v>
      </c>
      <c r="Q111" s="29">
        <v>137</v>
      </c>
      <c r="R111" s="29">
        <v>136</v>
      </c>
      <c r="S111" s="29">
        <v>101</v>
      </c>
      <c r="T111" s="29">
        <v>51</v>
      </c>
      <c r="U111" s="29">
        <v>4</v>
      </c>
      <c r="V111" s="29">
        <v>-35</v>
      </c>
      <c r="W111" s="29">
        <v>-65</v>
      </c>
      <c r="X111" s="29">
        <v>-84</v>
      </c>
      <c r="Y111" s="30">
        <v>-79</v>
      </c>
      <c r="Z111" s="24">
        <v>670</v>
      </c>
      <c r="AA111" s="24">
        <v>28</v>
      </c>
      <c r="AB111" s="2">
        <f t="shared" si="6"/>
        <v>137</v>
      </c>
    </row>
    <row r="112" spans="1:28" ht="15" customHeight="1" x14ac:dyDescent="0.25">
      <c r="A112" s="26">
        <v>45760</v>
      </c>
      <c r="B112" s="28">
        <v>-19</v>
      </c>
      <c r="C112" s="29">
        <v>47</v>
      </c>
      <c r="D112" s="29">
        <v>93</v>
      </c>
      <c r="E112" s="29">
        <v>126</v>
      </c>
      <c r="F112" s="29">
        <v>138</v>
      </c>
      <c r="G112" s="29">
        <v>122</v>
      </c>
      <c r="H112" s="29">
        <v>80</v>
      </c>
      <c r="I112" s="29">
        <v>31</v>
      </c>
      <c r="J112" s="29">
        <v>-11</v>
      </c>
      <c r="K112" s="29">
        <v>-42</v>
      </c>
      <c r="L112" s="29">
        <v>-61</v>
      </c>
      <c r="M112" s="29">
        <v>-48</v>
      </c>
      <c r="N112" s="29">
        <v>13</v>
      </c>
      <c r="O112" s="29">
        <v>71</v>
      </c>
      <c r="P112" s="29">
        <v>109</v>
      </c>
      <c r="Q112" s="29">
        <v>133</v>
      </c>
      <c r="R112" s="29">
        <v>139</v>
      </c>
      <c r="S112" s="29">
        <v>113</v>
      </c>
      <c r="T112" s="29">
        <v>67</v>
      </c>
      <c r="U112" s="29">
        <v>10</v>
      </c>
      <c r="V112" s="29">
        <v>-31</v>
      </c>
      <c r="W112" s="29">
        <v>-64</v>
      </c>
      <c r="X112" s="29">
        <v>-88</v>
      </c>
      <c r="Y112" s="30">
        <v>-95</v>
      </c>
      <c r="Z112" s="24">
        <v>833</v>
      </c>
      <c r="AA112" s="24">
        <v>35</v>
      </c>
      <c r="AB112" s="2">
        <f t="shared" si="6"/>
        <v>139</v>
      </c>
    </row>
    <row r="113" spans="1:28" ht="15" customHeight="1" x14ac:dyDescent="0.25">
      <c r="A113" s="26">
        <v>45761</v>
      </c>
      <c r="B113" s="28">
        <v>-56</v>
      </c>
      <c r="C113" s="29">
        <v>19</v>
      </c>
      <c r="D113" s="29">
        <v>80</v>
      </c>
      <c r="E113" s="29">
        <v>115</v>
      </c>
      <c r="F113" s="29">
        <v>139</v>
      </c>
      <c r="G113" s="29">
        <v>144</v>
      </c>
      <c r="H113" s="29">
        <v>118</v>
      </c>
      <c r="I113" s="29">
        <v>68</v>
      </c>
      <c r="J113" s="29">
        <v>19</v>
      </c>
      <c r="K113" s="29">
        <v>-20</v>
      </c>
      <c r="L113" s="29">
        <v>-43</v>
      </c>
      <c r="M113" s="29">
        <v>-44</v>
      </c>
      <c r="N113" s="29">
        <v>3</v>
      </c>
      <c r="O113" s="29">
        <v>62</v>
      </c>
      <c r="P113" s="29">
        <v>102</v>
      </c>
      <c r="Q113" s="29">
        <v>133</v>
      </c>
      <c r="R113" s="29">
        <v>149</v>
      </c>
      <c r="S113" s="29">
        <v>134</v>
      </c>
      <c r="T113" s="29">
        <v>89</v>
      </c>
      <c r="U113" s="29">
        <v>35</v>
      </c>
      <c r="V113" s="29">
        <v>-13</v>
      </c>
      <c r="W113" s="29">
        <v>-55</v>
      </c>
      <c r="X113" s="29">
        <v>-85</v>
      </c>
      <c r="Y113" s="30">
        <v>-99</v>
      </c>
      <c r="Z113" s="24">
        <v>994</v>
      </c>
      <c r="AA113" s="24">
        <v>41</v>
      </c>
      <c r="AB113" s="2">
        <f t="shared" si="6"/>
        <v>149</v>
      </c>
    </row>
    <row r="114" spans="1:28" ht="15" customHeight="1" x14ac:dyDescent="0.25">
      <c r="A114" s="26">
        <v>45762</v>
      </c>
      <c r="B114" s="28">
        <v>-80</v>
      </c>
      <c r="C114" s="29">
        <v>-6</v>
      </c>
      <c r="D114" s="29">
        <v>57</v>
      </c>
      <c r="E114" s="29">
        <v>107</v>
      </c>
      <c r="F114" s="29">
        <v>139</v>
      </c>
      <c r="G114" s="29">
        <v>154</v>
      </c>
      <c r="H114" s="29">
        <v>143</v>
      </c>
      <c r="I114" s="29">
        <v>107</v>
      </c>
      <c r="J114" s="29">
        <v>63</v>
      </c>
      <c r="K114" s="29">
        <v>23</v>
      </c>
      <c r="L114" s="29">
        <v>-6</v>
      </c>
      <c r="M114" s="29">
        <v>-16</v>
      </c>
      <c r="N114" s="29">
        <v>18</v>
      </c>
      <c r="O114" s="29">
        <v>64</v>
      </c>
      <c r="P114" s="29">
        <v>107</v>
      </c>
      <c r="Q114" s="29">
        <v>139</v>
      </c>
      <c r="R114" s="29">
        <v>156</v>
      </c>
      <c r="S114" s="29">
        <v>150</v>
      </c>
      <c r="T114" s="29">
        <v>111</v>
      </c>
      <c r="U114" s="29">
        <v>59</v>
      </c>
      <c r="V114" s="29">
        <v>8</v>
      </c>
      <c r="W114" s="29">
        <v>-39</v>
      </c>
      <c r="X114" s="29">
        <v>-75</v>
      </c>
      <c r="Y114" s="30">
        <v>-101</v>
      </c>
      <c r="Z114" s="24">
        <v>1282</v>
      </c>
      <c r="AA114" s="24">
        <v>53</v>
      </c>
      <c r="AB114" s="2">
        <f t="shared" si="6"/>
        <v>156</v>
      </c>
    </row>
    <row r="115" spans="1:28" ht="15" customHeight="1" x14ac:dyDescent="0.25">
      <c r="A115" s="26">
        <v>45763</v>
      </c>
      <c r="B115" s="28">
        <v>-105</v>
      </c>
      <c r="C115" s="29">
        <v>-53</v>
      </c>
      <c r="D115" s="29">
        <v>17</v>
      </c>
      <c r="E115" s="29">
        <v>76</v>
      </c>
      <c r="F115" s="29">
        <v>121</v>
      </c>
      <c r="G115" s="29">
        <v>147</v>
      </c>
      <c r="H115" s="29">
        <v>151</v>
      </c>
      <c r="I115" s="29">
        <v>131</v>
      </c>
      <c r="J115" s="29">
        <v>93</v>
      </c>
      <c r="K115" s="29">
        <v>52</v>
      </c>
      <c r="L115" s="29">
        <v>23</v>
      </c>
      <c r="M115" s="29">
        <v>8</v>
      </c>
      <c r="N115" s="29">
        <v>14</v>
      </c>
      <c r="O115" s="29">
        <v>52</v>
      </c>
      <c r="P115" s="29">
        <v>93</v>
      </c>
      <c r="Q115" s="29">
        <v>124</v>
      </c>
      <c r="R115" s="29">
        <v>141</v>
      </c>
      <c r="S115" s="29">
        <v>142</v>
      </c>
      <c r="T115" s="29">
        <v>108</v>
      </c>
      <c r="U115" s="29">
        <v>59</v>
      </c>
      <c r="V115" s="29">
        <v>8</v>
      </c>
      <c r="W115" s="29">
        <v>-40</v>
      </c>
      <c r="X115" s="29">
        <v>-77</v>
      </c>
      <c r="Y115" s="30">
        <v>-107</v>
      </c>
      <c r="Z115" s="24">
        <v>1178</v>
      </c>
      <c r="AA115" s="24">
        <v>49</v>
      </c>
      <c r="AB115" s="2">
        <f t="shared" si="6"/>
        <v>151</v>
      </c>
    </row>
    <row r="116" spans="1:28" ht="15" customHeight="1" x14ac:dyDescent="0.25">
      <c r="A116" s="26">
        <v>45764</v>
      </c>
      <c r="B116" s="28">
        <v>-121</v>
      </c>
      <c r="C116" s="29">
        <v>-113</v>
      </c>
      <c r="D116" s="29">
        <v>-41</v>
      </c>
      <c r="E116" s="29">
        <v>27</v>
      </c>
      <c r="F116" s="29">
        <v>72</v>
      </c>
      <c r="G116" s="29">
        <v>105</v>
      </c>
      <c r="H116" s="29">
        <v>122</v>
      </c>
      <c r="I116" s="29">
        <v>124</v>
      </c>
      <c r="J116" s="29">
        <v>103</v>
      </c>
      <c r="K116" s="29">
        <v>72</v>
      </c>
      <c r="L116" s="29">
        <v>41</v>
      </c>
      <c r="M116" s="29">
        <v>22</v>
      </c>
      <c r="N116" s="29">
        <v>24</v>
      </c>
      <c r="O116" s="29">
        <v>46</v>
      </c>
      <c r="P116" s="29">
        <v>78</v>
      </c>
      <c r="Q116" s="29">
        <v>108</v>
      </c>
      <c r="R116" s="29">
        <v>130</v>
      </c>
      <c r="S116" s="29">
        <v>130</v>
      </c>
      <c r="T116" s="29">
        <v>111</v>
      </c>
      <c r="U116" s="29">
        <v>70</v>
      </c>
      <c r="V116" s="29">
        <v>23</v>
      </c>
      <c r="W116" s="29">
        <v>-27</v>
      </c>
      <c r="X116" s="29">
        <v>-69</v>
      </c>
      <c r="Y116" s="30">
        <v>-101</v>
      </c>
      <c r="Z116" s="24">
        <v>936</v>
      </c>
      <c r="AA116" s="24">
        <v>39</v>
      </c>
      <c r="AB116" s="2">
        <f t="shared" si="6"/>
        <v>130</v>
      </c>
    </row>
    <row r="117" spans="1:28" ht="15" customHeight="1" x14ac:dyDescent="0.25">
      <c r="A117" s="26">
        <v>45765</v>
      </c>
      <c r="B117" s="28">
        <v>-121</v>
      </c>
      <c r="C117" s="29">
        <v>-129</v>
      </c>
      <c r="D117" s="29">
        <v>-104</v>
      </c>
      <c r="E117" s="29">
        <v>-33</v>
      </c>
      <c r="F117" s="29">
        <v>26</v>
      </c>
      <c r="G117" s="29">
        <v>68</v>
      </c>
      <c r="H117" s="29">
        <v>97</v>
      </c>
      <c r="I117" s="29">
        <v>114</v>
      </c>
      <c r="J117" s="29">
        <v>111</v>
      </c>
      <c r="K117" s="29">
        <v>91</v>
      </c>
      <c r="L117" s="29">
        <v>69</v>
      </c>
      <c r="M117" s="29">
        <v>49</v>
      </c>
      <c r="N117" s="29">
        <v>43</v>
      </c>
      <c r="O117" s="29">
        <v>49</v>
      </c>
      <c r="P117" s="29">
        <v>71</v>
      </c>
      <c r="Q117" s="29">
        <v>98</v>
      </c>
      <c r="R117" s="29">
        <v>117</v>
      </c>
      <c r="S117" s="29">
        <v>121</v>
      </c>
      <c r="T117" s="29">
        <v>109</v>
      </c>
      <c r="U117" s="29">
        <v>79</v>
      </c>
      <c r="V117" s="29">
        <v>41</v>
      </c>
      <c r="W117" s="29">
        <v>-5</v>
      </c>
      <c r="X117" s="29">
        <v>-49</v>
      </c>
      <c r="Y117" s="30">
        <v>-84</v>
      </c>
      <c r="Z117" s="24">
        <v>828</v>
      </c>
      <c r="AA117" s="24">
        <v>35</v>
      </c>
      <c r="AB117" s="2">
        <f t="shared" si="6"/>
        <v>121</v>
      </c>
    </row>
    <row r="118" spans="1:28" ht="15" customHeight="1" x14ac:dyDescent="0.25">
      <c r="A118" s="26">
        <v>45766</v>
      </c>
      <c r="B118" s="28">
        <v>-109</v>
      </c>
      <c r="C118" s="29">
        <v>-124</v>
      </c>
      <c r="D118" s="29">
        <v>-124</v>
      </c>
      <c r="E118" s="29">
        <v>-78</v>
      </c>
      <c r="F118" s="29">
        <v>-17</v>
      </c>
      <c r="G118" s="29">
        <v>29</v>
      </c>
      <c r="H118" s="29">
        <v>64</v>
      </c>
      <c r="I118" s="29">
        <v>93</v>
      </c>
      <c r="J118" s="29">
        <v>105</v>
      </c>
      <c r="K118" s="29">
        <v>97</v>
      </c>
      <c r="L118" s="29">
        <v>83</v>
      </c>
      <c r="M118" s="29">
        <v>71</v>
      </c>
      <c r="N118" s="29">
        <v>58</v>
      </c>
      <c r="O118" s="29">
        <v>61</v>
      </c>
      <c r="P118" s="29">
        <v>73</v>
      </c>
      <c r="Q118" s="29">
        <v>89</v>
      </c>
      <c r="R118" s="29">
        <v>105</v>
      </c>
      <c r="S118" s="29">
        <v>112</v>
      </c>
      <c r="T118" s="29">
        <v>96</v>
      </c>
      <c r="U118" s="29">
        <v>85</v>
      </c>
      <c r="V118" s="29">
        <v>54</v>
      </c>
      <c r="W118" s="29">
        <v>17</v>
      </c>
      <c r="X118" s="29">
        <v>-26</v>
      </c>
      <c r="Y118" s="30">
        <v>-63</v>
      </c>
      <c r="Z118" s="24">
        <v>751</v>
      </c>
      <c r="AA118" s="24">
        <v>31</v>
      </c>
      <c r="AB118" s="2">
        <f t="shared" si="6"/>
        <v>112</v>
      </c>
    </row>
    <row r="119" spans="1:28" ht="15" customHeight="1" x14ac:dyDescent="0.25">
      <c r="A119" s="26">
        <v>45767</v>
      </c>
      <c r="B119" s="28">
        <v>-92</v>
      </c>
      <c r="C119" s="29">
        <v>-112</v>
      </c>
      <c r="D119" s="29">
        <v>-122</v>
      </c>
      <c r="E119" s="29">
        <v>-108</v>
      </c>
      <c r="F119" s="29">
        <v>-62</v>
      </c>
      <c r="G119" s="29">
        <v>-12</v>
      </c>
      <c r="H119" s="29">
        <v>28</v>
      </c>
      <c r="I119" s="29">
        <v>62</v>
      </c>
      <c r="J119" s="29">
        <v>90</v>
      </c>
      <c r="K119" s="29">
        <v>99</v>
      </c>
      <c r="L119" s="29">
        <v>99</v>
      </c>
      <c r="M119" s="29">
        <v>92</v>
      </c>
      <c r="N119" s="29">
        <v>79</v>
      </c>
      <c r="O119" s="29">
        <v>79</v>
      </c>
      <c r="P119" s="29">
        <v>83</v>
      </c>
      <c r="Q119" s="29">
        <v>87</v>
      </c>
      <c r="R119" s="29">
        <v>96</v>
      </c>
      <c r="S119" s="29">
        <v>101</v>
      </c>
      <c r="T119" s="29">
        <v>95</v>
      </c>
      <c r="U119" s="29">
        <v>81</v>
      </c>
      <c r="V119" s="29">
        <v>63</v>
      </c>
      <c r="W119" s="29">
        <v>32</v>
      </c>
      <c r="X119" s="29">
        <v>-3</v>
      </c>
      <c r="Y119" s="30">
        <v>-40</v>
      </c>
      <c r="Z119" s="24">
        <v>715</v>
      </c>
      <c r="AA119" s="24">
        <v>30</v>
      </c>
      <c r="AB119" s="2">
        <f t="shared" si="6"/>
        <v>101</v>
      </c>
    </row>
    <row r="120" spans="1:28" ht="15" customHeight="1" x14ac:dyDescent="0.25">
      <c r="A120" s="26">
        <v>45768</v>
      </c>
      <c r="B120" s="28">
        <v>-70</v>
      </c>
      <c r="C120" s="29">
        <v>-97</v>
      </c>
      <c r="D120" s="29">
        <v>-117</v>
      </c>
      <c r="E120" s="29">
        <v>-123</v>
      </c>
      <c r="F120" s="29">
        <v>-100</v>
      </c>
      <c r="G120" s="29">
        <v>-55</v>
      </c>
      <c r="H120" s="29">
        <v>-12</v>
      </c>
      <c r="I120" s="29">
        <v>26</v>
      </c>
      <c r="J120" s="29">
        <v>58</v>
      </c>
      <c r="K120" s="29">
        <v>88</v>
      </c>
      <c r="L120" s="29">
        <v>102</v>
      </c>
      <c r="M120" s="29">
        <v>110</v>
      </c>
      <c r="N120" s="29">
        <v>104</v>
      </c>
      <c r="O120" s="29">
        <v>98</v>
      </c>
      <c r="P120" s="29">
        <v>91</v>
      </c>
      <c r="Q120" s="29">
        <v>88</v>
      </c>
      <c r="R120" s="29">
        <v>86</v>
      </c>
      <c r="S120" s="29">
        <v>93</v>
      </c>
      <c r="T120" s="29">
        <v>85</v>
      </c>
      <c r="U120" s="29">
        <v>79</v>
      </c>
      <c r="V120" s="29">
        <v>69</v>
      </c>
      <c r="W120" s="29">
        <v>54</v>
      </c>
      <c r="X120" s="29">
        <v>30</v>
      </c>
      <c r="Y120" s="30">
        <v>-3</v>
      </c>
      <c r="Z120" s="24">
        <v>684</v>
      </c>
      <c r="AA120" s="24">
        <v>29</v>
      </c>
      <c r="AB120" s="2">
        <f t="shared" si="6"/>
        <v>110</v>
      </c>
    </row>
    <row r="121" spans="1:28" ht="15" customHeight="1" x14ac:dyDescent="0.25">
      <c r="A121" s="26">
        <v>45769</v>
      </c>
      <c r="B121" s="28">
        <v>-35</v>
      </c>
      <c r="C121" s="29">
        <v>-65</v>
      </c>
      <c r="D121" s="29">
        <v>-90</v>
      </c>
      <c r="E121" s="29">
        <v>-109</v>
      </c>
      <c r="F121" s="29">
        <v>-117</v>
      </c>
      <c r="G121" s="29">
        <v>-106</v>
      </c>
      <c r="H121" s="29">
        <v>-72</v>
      </c>
      <c r="I121" s="29">
        <v>-27</v>
      </c>
      <c r="J121" s="29">
        <v>14</v>
      </c>
      <c r="K121" s="29">
        <v>52</v>
      </c>
      <c r="L121" s="29">
        <v>84</v>
      </c>
      <c r="M121" s="29">
        <v>107</v>
      </c>
      <c r="N121" s="29">
        <v>114</v>
      </c>
      <c r="O121" s="29">
        <v>110</v>
      </c>
      <c r="P121" s="29">
        <v>100</v>
      </c>
      <c r="Q121" s="29">
        <v>82</v>
      </c>
      <c r="R121" s="29">
        <v>68</v>
      </c>
      <c r="S121" s="29">
        <v>55</v>
      </c>
      <c r="T121" s="29">
        <v>47</v>
      </c>
      <c r="U121" s="29">
        <v>45</v>
      </c>
      <c r="V121" s="29">
        <v>44</v>
      </c>
      <c r="W121" s="29">
        <v>37</v>
      </c>
      <c r="X121" s="29">
        <v>30</v>
      </c>
      <c r="Y121" s="30">
        <v>18</v>
      </c>
      <c r="Z121" s="24">
        <v>386</v>
      </c>
      <c r="AA121" s="24">
        <v>16</v>
      </c>
      <c r="AB121" s="2">
        <f t="shared" si="6"/>
        <v>114</v>
      </c>
    </row>
    <row r="122" spans="1:28" ht="15" customHeight="1" x14ac:dyDescent="0.25">
      <c r="A122" s="26">
        <v>45770</v>
      </c>
      <c r="B122" s="28">
        <v>-5</v>
      </c>
      <c r="C122" s="29">
        <v>-36</v>
      </c>
      <c r="D122" s="29">
        <v>-61</v>
      </c>
      <c r="E122" s="29">
        <v>-89</v>
      </c>
      <c r="F122" s="29">
        <v>-114</v>
      </c>
      <c r="G122" s="29">
        <v>-130</v>
      </c>
      <c r="H122" s="29">
        <v>-111</v>
      </c>
      <c r="I122" s="29">
        <v>-62</v>
      </c>
      <c r="J122" s="29">
        <v>-17</v>
      </c>
      <c r="K122" s="29">
        <v>24</v>
      </c>
      <c r="L122" s="29">
        <v>62</v>
      </c>
      <c r="M122" s="29">
        <v>93</v>
      </c>
      <c r="N122" s="29">
        <v>116</v>
      </c>
      <c r="O122" s="29">
        <v>122</v>
      </c>
      <c r="P122" s="29">
        <v>113</v>
      </c>
      <c r="Q122" s="29">
        <v>91</v>
      </c>
      <c r="R122" s="29">
        <v>59</v>
      </c>
      <c r="S122" s="29">
        <v>37</v>
      </c>
      <c r="T122" s="29">
        <v>15</v>
      </c>
      <c r="U122" s="29">
        <v>7</v>
      </c>
      <c r="V122" s="29">
        <v>15</v>
      </c>
      <c r="W122" s="29">
        <v>24</v>
      </c>
      <c r="X122" s="29">
        <v>33</v>
      </c>
      <c r="Y122" s="30">
        <v>38</v>
      </c>
      <c r="Z122" s="24">
        <v>224</v>
      </c>
      <c r="AA122" s="24">
        <v>9</v>
      </c>
      <c r="AB122" s="2">
        <f t="shared" si="6"/>
        <v>122</v>
      </c>
    </row>
    <row r="123" spans="1:28" ht="15" customHeight="1" x14ac:dyDescent="0.25">
      <c r="A123" s="26">
        <v>45771</v>
      </c>
      <c r="B123" s="28">
        <v>38</v>
      </c>
      <c r="C123" s="29">
        <v>18</v>
      </c>
      <c r="D123" s="29">
        <v>-3</v>
      </c>
      <c r="E123" s="29">
        <v>-37</v>
      </c>
      <c r="F123" s="29">
        <v>-71</v>
      </c>
      <c r="G123" s="29">
        <v>-103</v>
      </c>
      <c r="H123" s="29">
        <v>-129</v>
      </c>
      <c r="I123" s="29">
        <v>-136</v>
      </c>
      <c r="J123" s="29">
        <v>-103</v>
      </c>
      <c r="K123" s="29">
        <v>-41</v>
      </c>
      <c r="L123" s="29">
        <v>14</v>
      </c>
      <c r="M123" s="29">
        <v>63</v>
      </c>
      <c r="N123" s="29">
        <v>103</v>
      </c>
      <c r="O123" s="29">
        <v>126</v>
      </c>
      <c r="P123" s="29">
        <v>125</v>
      </c>
      <c r="Q123" s="29">
        <v>101</v>
      </c>
      <c r="R123" s="29">
        <v>65</v>
      </c>
      <c r="S123" s="29">
        <v>28</v>
      </c>
      <c r="T123" s="29">
        <v>-3</v>
      </c>
      <c r="U123" s="29">
        <v>-25</v>
      </c>
      <c r="V123" s="29">
        <v>-32</v>
      </c>
      <c r="W123" s="29">
        <v>-15</v>
      </c>
      <c r="X123" s="29">
        <v>20</v>
      </c>
      <c r="Y123" s="30">
        <v>48</v>
      </c>
      <c r="Z123" s="24">
        <v>51</v>
      </c>
      <c r="AA123" s="24">
        <v>2</v>
      </c>
      <c r="AB123" s="2">
        <f t="shared" si="6"/>
        <v>126</v>
      </c>
    </row>
    <row r="124" spans="1:28" ht="15" customHeight="1" x14ac:dyDescent="0.25">
      <c r="A124" s="26">
        <v>45772</v>
      </c>
      <c r="B124" s="28">
        <v>65</v>
      </c>
      <c r="C124" s="29">
        <v>72</v>
      </c>
      <c r="D124" s="29">
        <v>62</v>
      </c>
      <c r="E124" s="29">
        <v>26</v>
      </c>
      <c r="F124" s="29">
        <v>-15</v>
      </c>
      <c r="G124" s="29">
        <v>-56</v>
      </c>
      <c r="H124" s="29">
        <v>-93</v>
      </c>
      <c r="I124" s="29">
        <v>-119</v>
      </c>
      <c r="J124" s="29">
        <v>-128</v>
      </c>
      <c r="K124" s="29">
        <v>-89</v>
      </c>
      <c r="L124" s="29">
        <v>-20</v>
      </c>
      <c r="M124" s="29">
        <v>42</v>
      </c>
      <c r="N124" s="29">
        <v>90</v>
      </c>
      <c r="O124" s="29">
        <v>120</v>
      </c>
      <c r="P124" s="29">
        <v>135</v>
      </c>
      <c r="Q124" s="29">
        <v>117</v>
      </c>
      <c r="R124" s="29">
        <v>80</v>
      </c>
      <c r="S124" s="29">
        <v>33</v>
      </c>
      <c r="T124" s="29">
        <v>-10</v>
      </c>
      <c r="U124" s="29">
        <v>-43</v>
      </c>
      <c r="V124" s="29">
        <v>-66</v>
      </c>
      <c r="W124" s="29">
        <v>-67</v>
      </c>
      <c r="X124" s="29">
        <v>-21</v>
      </c>
      <c r="Y124" s="30">
        <v>32</v>
      </c>
      <c r="Z124" s="24">
        <v>147</v>
      </c>
      <c r="AA124" s="24">
        <v>6</v>
      </c>
      <c r="AB124" s="2">
        <f t="shared" si="6"/>
        <v>135</v>
      </c>
    </row>
    <row r="125" spans="1:28" ht="15" customHeight="1" x14ac:dyDescent="0.25">
      <c r="A125" s="26">
        <v>45773</v>
      </c>
      <c r="B125" s="28">
        <v>71</v>
      </c>
      <c r="C125" s="29">
        <v>95</v>
      </c>
      <c r="D125" s="29">
        <v>107</v>
      </c>
      <c r="E125" s="29">
        <v>94</v>
      </c>
      <c r="F125" s="29">
        <v>49</v>
      </c>
      <c r="G125" s="29">
        <v>2</v>
      </c>
      <c r="H125" s="29">
        <v>-36</v>
      </c>
      <c r="I125" s="29">
        <v>-70</v>
      </c>
      <c r="J125" s="29">
        <v>-94</v>
      </c>
      <c r="K125" s="29">
        <v>-103</v>
      </c>
      <c r="L125" s="29">
        <v>-60</v>
      </c>
      <c r="M125" s="29">
        <v>17</v>
      </c>
      <c r="N125" s="29">
        <v>72</v>
      </c>
      <c r="O125" s="29">
        <v>115</v>
      </c>
      <c r="P125" s="29">
        <v>138</v>
      </c>
      <c r="Q125" s="29">
        <v>138</v>
      </c>
      <c r="R125" s="29">
        <v>103</v>
      </c>
      <c r="S125" s="29">
        <v>50</v>
      </c>
      <c r="T125" s="29">
        <v>3</v>
      </c>
      <c r="U125" s="29">
        <v>-41</v>
      </c>
      <c r="V125" s="29">
        <v>-74</v>
      </c>
      <c r="W125" s="29">
        <v>-92</v>
      </c>
      <c r="X125" s="29">
        <v>-94</v>
      </c>
      <c r="Y125" s="30">
        <v>-30</v>
      </c>
      <c r="Z125" s="24">
        <v>360</v>
      </c>
      <c r="AA125" s="24">
        <v>15</v>
      </c>
      <c r="AB125" s="2">
        <f t="shared" si="6"/>
        <v>138</v>
      </c>
    </row>
    <row r="126" spans="1:28" ht="15" customHeight="1" x14ac:dyDescent="0.25">
      <c r="A126" s="26">
        <v>45774</v>
      </c>
      <c r="B126" s="28">
        <v>40</v>
      </c>
      <c r="C126" s="29">
        <v>88</v>
      </c>
      <c r="D126" s="29">
        <v>117</v>
      </c>
      <c r="E126" s="29">
        <v>130</v>
      </c>
      <c r="F126" s="29">
        <v>111</v>
      </c>
      <c r="G126" s="29">
        <v>60</v>
      </c>
      <c r="H126" s="29">
        <v>11</v>
      </c>
      <c r="I126" s="29">
        <v>-30</v>
      </c>
      <c r="J126" s="29">
        <v>-62</v>
      </c>
      <c r="K126" s="29">
        <v>-82</v>
      </c>
      <c r="L126" s="29">
        <v>-78</v>
      </c>
      <c r="M126" s="29">
        <v>-8</v>
      </c>
      <c r="N126" s="29">
        <v>54</v>
      </c>
      <c r="O126" s="29">
        <v>98</v>
      </c>
      <c r="P126" s="29">
        <v>129</v>
      </c>
      <c r="Q126" s="29">
        <v>143</v>
      </c>
      <c r="R126" s="29">
        <v>121</v>
      </c>
      <c r="S126" s="29">
        <v>69</v>
      </c>
      <c r="T126" s="29">
        <v>14</v>
      </c>
      <c r="U126" s="29">
        <v>-32</v>
      </c>
      <c r="V126" s="29">
        <v>-67</v>
      </c>
      <c r="W126" s="29">
        <v>-97</v>
      </c>
      <c r="X126" s="29">
        <v>-117</v>
      </c>
      <c r="Y126" s="30">
        <v>-106</v>
      </c>
      <c r="Z126" s="24">
        <v>506</v>
      </c>
      <c r="AA126" s="24">
        <v>21</v>
      </c>
      <c r="AB126" s="2">
        <f t="shared" si="6"/>
        <v>143</v>
      </c>
    </row>
    <row r="127" spans="1:28" ht="15" customHeight="1" x14ac:dyDescent="0.25">
      <c r="A127" s="26">
        <v>45775</v>
      </c>
      <c r="B127" s="28">
        <v>-16</v>
      </c>
      <c r="C127" s="29">
        <v>60</v>
      </c>
      <c r="D127" s="29">
        <v>109</v>
      </c>
      <c r="E127" s="29">
        <v>143</v>
      </c>
      <c r="F127" s="29">
        <v>157</v>
      </c>
      <c r="G127" s="29">
        <v>131</v>
      </c>
      <c r="H127" s="29">
        <v>73</v>
      </c>
      <c r="I127" s="29">
        <v>31</v>
      </c>
      <c r="J127" s="29">
        <v>-14</v>
      </c>
      <c r="K127" s="29">
        <v>-44</v>
      </c>
      <c r="L127" s="29">
        <v>-60</v>
      </c>
      <c r="M127" s="29">
        <v>-30</v>
      </c>
      <c r="N127" s="29">
        <v>43</v>
      </c>
      <c r="O127" s="29">
        <v>98</v>
      </c>
      <c r="P127" s="29">
        <v>136</v>
      </c>
      <c r="Q127" s="29">
        <v>158</v>
      </c>
      <c r="R127" s="29">
        <v>152</v>
      </c>
      <c r="S127" s="29">
        <v>108</v>
      </c>
      <c r="T127" s="29">
        <v>49</v>
      </c>
      <c r="U127" s="29">
        <v>-10</v>
      </c>
      <c r="V127" s="29">
        <v>-52</v>
      </c>
      <c r="W127" s="29">
        <v>-89</v>
      </c>
      <c r="X127" s="29">
        <v>-117</v>
      </c>
      <c r="Y127" s="30">
        <v>-132</v>
      </c>
      <c r="Z127" s="24">
        <v>884</v>
      </c>
      <c r="AA127" s="24">
        <v>37</v>
      </c>
      <c r="AB127" s="2">
        <f t="shared" si="6"/>
        <v>158</v>
      </c>
    </row>
    <row r="128" spans="1:28" ht="15" customHeight="1" x14ac:dyDescent="0.25">
      <c r="A128" s="26">
        <v>45776</v>
      </c>
      <c r="B128" s="28">
        <v>-101</v>
      </c>
      <c r="C128" s="29">
        <v>0</v>
      </c>
      <c r="D128" s="29">
        <v>73</v>
      </c>
      <c r="E128" s="29">
        <v>123</v>
      </c>
      <c r="F128" s="29">
        <v>156</v>
      </c>
      <c r="G128" s="29">
        <v>161</v>
      </c>
      <c r="H128" s="29">
        <v>133</v>
      </c>
      <c r="I128" s="29">
        <v>84</v>
      </c>
      <c r="J128" s="29">
        <v>36</v>
      </c>
      <c r="K128" s="29">
        <v>-3</v>
      </c>
      <c r="L128" s="29">
        <v>-30</v>
      </c>
      <c r="M128" s="29">
        <v>-33</v>
      </c>
      <c r="N128" s="29">
        <v>29</v>
      </c>
      <c r="O128" s="29">
        <v>87</v>
      </c>
      <c r="P128" s="29">
        <v>135</v>
      </c>
      <c r="Q128" s="29">
        <v>160</v>
      </c>
      <c r="R128" s="29">
        <v>167</v>
      </c>
      <c r="S128" s="29">
        <v>140</v>
      </c>
      <c r="T128" s="29">
        <v>82</v>
      </c>
      <c r="U128" s="29">
        <v>22</v>
      </c>
      <c r="V128" s="29">
        <v>-30</v>
      </c>
      <c r="W128" s="29">
        <v>-75</v>
      </c>
      <c r="X128" s="29">
        <v>-111</v>
      </c>
      <c r="Y128" s="30">
        <v>-136</v>
      </c>
      <c r="Z128" s="24">
        <v>1069</v>
      </c>
      <c r="AA128" s="24">
        <v>45</v>
      </c>
      <c r="AB128" s="2">
        <f t="shared" si="6"/>
        <v>167</v>
      </c>
    </row>
    <row r="129" spans="1:28" ht="15" customHeight="1" x14ac:dyDescent="0.25">
      <c r="A129" s="26">
        <v>45777</v>
      </c>
      <c r="B129" s="28">
        <v>-139</v>
      </c>
      <c r="C129" s="29">
        <v>-94</v>
      </c>
      <c r="D129" s="29">
        <v>-20</v>
      </c>
      <c r="E129" s="29">
        <v>62</v>
      </c>
      <c r="F129" s="29">
        <v>129</v>
      </c>
      <c r="G129" s="29">
        <v>166</v>
      </c>
      <c r="H129" s="29">
        <v>169</v>
      </c>
      <c r="I129" s="29">
        <v>144</v>
      </c>
      <c r="J129" s="29">
        <v>97</v>
      </c>
      <c r="K129" s="29">
        <v>60</v>
      </c>
      <c r="L129" s="29">
        <v>28</v>
      </c>
      <c r="M129" s="29">
        <v>16</v>
      </c>
      <c r="N129" s="29">
        <v>38</v>
      </c>
      <c r="O129" s="29">
        <v>89</v>
      </c>
      <c r="P129" s="29">
        <v>130</v>
      </c>
      <c r="Q129" s="29">
        <v>158</v>
      </c>
      <c r="R129" s="29">
        <v>172</v>
      </c>
      <c r="S129" s="29">
        <v>163</v>
      </c>
      <c r="T129" s="29">
        <v>120</v>
      </c>
      <c r="U129" s="29">
        <v>60</v>
      </c>
      <c r="V129" s="29">
        <v>0</v>
      </c>
      <c r="W129" s="29">
        <v>-51</v>
      </c>
      <c r="X129" s="29">
        <v>-93</v>
      </c>
      <c r="Y129" s="30">
        <v>-124</v>
      </c>
      <c r="Z129" s="24">
        <v>1280</v>
      </c>
      <c r="AA129" s="24">
        <v>53</v>
      </c>
      <c r="AB129" s="2">
        <f t="shared" si="6"/>
        <v>172</v>
      </c>
    </row>
    <row r="130" spans="1:28" ht="15" customHeight="1" x14ac:dyDescent="0.25">
      <c r="A130" s="40"/>
      <c r="B130" s="44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6"/>
      <c r="Z130" s="37"/>
      <c r="AA130" s="37"/>
    </row>
    <row r="131" spans="1:28" ht="15" customHeight="1" x14ac:dyDescent="0.25">
      <c r="A131" s="26">
        <v>45778</v>
      </c>
      <c r="B131" s="41">
        <v>-147</v>
      </c>
      <c r="C131" s="42">
        <v>-147</v>
      </c>
      <c r="D131" s="42">
        <v>-54</v>
      </c>
      <c r="E131" s="42">
        <v>32</v>
      </c>
      <c r="F131" s="42">
        <v>90</v>
      </c>
      <c r="G131" s="42">
        <v>129</v>
      </c>
      <c r="H131" s="42">
        <v>158</v>
      </c>
      <c r="I131" s="42">
        <v>158</v>
      </c>
      <c r="J131" s="42">
        <v>135</v>
      </c>
      <c r="K131" s="42">
        <v>103</v>
      </c>
      <c r="L131" s="42">
        <v>71</v>
      </c>
      <c r="M131" s="42">
        <v>52</v>
      </c>
      <c r="N131" s="42">
        <v>55</v>
      </c>
      <c r="O131" s="42">
        <v>85</v>
      </c>
      <c r="P131" s="42">
        <v>121</v>
      </c>
      <c r="Q131" s="42">
        <v>145</v>
      </c>
      <c r="R131" s="42">
        <v>166</v>
      </c>
      <c r="S131" s="42">
        <v>163</v>
      </c>
      <c r="T131" s="42">
        <v>131</v>
      </c>
      <c r="U131" s="42">
        <v>88</v>
      </c>
      <c r="V131" s="42">
        <v>33</v>
      </c>
      <c r="W131" s="42">
        <v>-23</v>
      </c>
      <c r="X131" s="42">
        <v>-70</v>
      </c>
      <c r="Y131" s="43">
        <v>-107</v>
      </c>
      <c r="Z131" s="27">
        <v>1367</v>
      </c>
      <c r="AA131" s="27">
        <v>57</v>
      </c>
      <c r="AB131" s="2">
        <f t="shared" si="6"/>
        <v>166</v>
      </c>
    </row>
    <row r="132" spans="1:28" ht="15" customHeight="1" x14ac:dyDescent="0.25">
      <c r="A132" s="26">
        <v>45779</v>
      </c>
      <c r="B132" s="28">
        <v>-133</v>
      </c>
      <c r="C132" s="29">
        <v>-148</v>
      </c>
      <c r="D132" s="29">
        <v>-129</v>
      </c>
      <c r="E132" s="29">
        <v>-57</v>
      </c>
      <c r="F132" s="29">
        <v>16</v>
      </c>
      <c r="G132" s="29">
        <v>70</v>
      </c>
      <c r="H132" s="29">
        <v>108</v>
      </c>
      <c r="I132" s="29">
        <v>138</v>
      </c>
      <c r="J132" s="29">
        <v>139</v>
      </c>
      <c r="K132" s="29">
        <v>124</v>
      </c>
      <c r="L132" s="29">
        <v>107</v>
      </c>
      <c r="M132" s="29">
        <v>88</v>
      </c>
      <c r="N132" s="29">
        <v>75</v>
      </c>
      <c r="O132" s="29">
        <v>78</v>
      </c>
      <c r="P132" s="29">
        <v>101</v>
      </c>
      <c r="Q132" s="29">
        <v>127</v>
      </c>
      <c r="R132" s="29">
        <v>150</v>
      </c>
      <c r="S132" s="29">
        <v>159</v>
      </c>
      <c r="T132" s="29">
        <v>138</v>
      </c>
      <c r="U132" s="29">
        <v>100</v>
      </c>
      <c r="V132" s="29">
        <v>60</v>
      </c>
      <c r="W132" s="29">
        <v>15</v>
      </c>
      <c r="X132" s="29">
        <v>-34</v>
      </c>
      <c r="Y132" s="30">
        <v>-75</v>
      </c>
      <c r="Z132" s="24">
        <v>1217</v>
      </c>
      <c r="AA132" s="24">
        <v>51</v>
      </c>
      <c r="AB132" s="2">
        <f t="shared" si="6"/>
        <v>159</v>
      </c>
    </row>
    <row r="133" spans="1:28" ht="15" customHeight="1" x14ac:dyDescent="0.25">
      <c r="A133" s="26">
        <v>45780</v>
      </c>
      <c r="B133" s="28">
        <v>-108</v>
      </c>
      <c r="C133" s="29">
        <v>-131</v>
      </c>
      <c r="D133" s="29">
        <v>-138</v>
      </c>
      <c r="E133" s="29">
        <v>-112</v>
      </c>
      <c r="F133" s="29">
        <v>-53</v>
      </c>
      <c r="G133" s="29">
        <v>3</v>
      </c>
      <c r="H133" s="29">
        <v>55</v>
      </c>
      <c r="I133" s="29">
        <v>92</v>
      </c>
      <c r="J133" s="29">
        <v>118</v>
      </c>
      <c r="K133" s="29">
        <v>126</v>
      </c>
      <c r="L133" s="29">
        <v>122</v>
      </c>
      <c r="M133" s="29">
        <v>110</v>
      </c>
      <c r="N133" s="29">
        <v>95</v>
      </c>
      <c r="O133" s="29">
        <v>88</v>
      </c>
      <c r="P133" s="29">
        <v>90</v>
      </c>
      <c r="Q133" s="29">
        <v>103</v>
      </c>
      <c r="R133" s="29">
        <v>115</v>
      </c>
      <c r="S133" s="29">
        <v>125</v>
      </c>
      <c r="T133" s="29">
        <v>125</v>
      </c>
      <c r="U133" s="29">
        <v>107</v>
      </c>
      <c r="V133" s="29">
        <v>76</v>
      </c>
      <c r="W133" s="29">
        <v>38</v>
      </c>
      <c r="X133" s="29">
        <v>-7</v>
      </c>
      <c r="Y133" s="30">
        <v>-51</v>
      </c>
      <c r="Z133" s="24">
        <v>988</v>
      </c>
      <c r="AA133" s="24">
        <v>41</v>
      </c>
      <c r="AB133" s="2">
        <f t="shared" si="6"/>
        <v>126</v>
      </c>
    </row>
    <row r="134" spans="1:28" ht="15" customHeight="1" x14ac:dyDescent="0.25">
      <c r="A134" s="26">
        <v>45781</v>
      </c>
      <c r="B134" s="28">
        <v>-85</v>
      </c>
      <c r="C134" s="29">
        <v>-112</v>
      </c>
      <c r="D134" s="29">
        <v>-130</v>
      </c>
      <c r="E134" s="29">
        <v>-134</v>
      </c>
      <c r="F134" s="29">
        <v>-102</v>
      </c>
      <c r="G134" s="29">
        <v>-47</v>
      </c>
      <c r="H134" s="29">
        <v>8</v>
      </c>
      <c r="I134" s="29">
        <v>51</v>
      </c>
      <c r="J134" s="29">
        <v>87</v>
      </c>
      <c r="K134" s="29">
        <v>110</v>
      </c>
      <c r="L134" s="29">
        <v>120</v>
      </c>
      <c r="M134" s="29">
        <v>115</v>
      </c>
      <c r="N134" s="29">
        <v>108</v>
      </c>
      <c r="O134" s="29">
        <v>96</v>
      </c>
      <c r="P134" s="29">
        <v>88</v>
      </c>
      <c r="Q134" s="29">
        <v>91</v>
      </c>
      <c r="R134" s="29">
        <v>97</v>
      </c>
      <c r="S134" s="29">
        <v>94</v>
      </c>
      <c r="T134" s="29">
        <v>96</v>
      </c>
      <c r="U134" s="29">
        <v>94</v>
      </c>
      <c r="V134" s="29">
        <v>77</v>
      </c>
      <c r="W134" s="29">
        <v>60</v>
      </c>
      <c r="X134" s="29">
        <v>26</v>
      </c>
      <c r="Y134" s="30">
        <v>-10</v>
      </c>
      <c r="Z134" s="24">
        <v>798</v>
      </c>
      <c r="AA134" s="24">
        <v>33</v>
      </c>
      <c r="AB134" s="2">
        <f t="shared" si="6"/>
        <v>120</v>
      </c>
    </row>
    <row r="135" spans="1:28" ht="15" customHeight="1" x14ac:dyDescent="0.25">
      <c r="A135" s="26">
        <v>45782</v>
      </c>
      <c r="B135" s="28">
        <v>-50</v>
      </c>
      <c r="C135" s="29">
        <v>-81</v>
      </c>
      <c r="D135" s="29">
        <v>-106</v>
      </c>
      <c r="E135" s="29">
        <v>-125</v>
      </c>
      <c r="F135" s="29">
        <v>-127</v>
      </c>
      <c r="G135" s="29">
        <v>-99</v>
      </c>
      <c r="H135" s="29">
        <v>-51</v>
      </c>
      <c r="I135" s="29">
        <v>0</v>
      </c>
      <c r="J135" s="29">
        <v>42</v>
      </c>
      <c r="K135" s="29">
        <v>82</v>
      </c>
      <c r="L135" s="29">
        <v>108</v>
      </c>
      <c r="M135" s="29">
        <v>120</v>
      </c>
      <c r="N135" s="29">
        <v>120</v>
      </c>
      <c r="O135" s="29">
        <v>106</v>
      </c>
      <c r="P135" s="29">
        <v>89</v>
      </c>
      <c r="Q135" s="29">
        <v>74</v>
      </c>
      <c r="R135" s="29">
        <v>68</v>
      </c>
      <c r="S135" s="29">
        <v>63</v>
      </c>
      <c r="T135" s="29">
        <v>63</v>
      </c>
      <c r="U135" s="29">
        <v>60</v>
      </c>
      <c r="V135" s="29">
        <v>59</v>
      </c>
      <c r="W135" s="29">
        <v>52</v>
      </c>
      <c r="X135" s="29">
        <v>37</v>
      </c>
      <c r="Y135" s="30">
        <v>14</v>
      </c>
      <c r="Z135" s="24">
        <v>518</v>
      </c>
      <c r="AA135" s="24">
        <v>22</v>
      </c>
      <c r="AB135" s="2">
        <f t="shared" si="6"/>
        <v>120</v>
      </c>
    </row>
    <row r="136" spans="1:28" ht="15" customHeight="1" x14ac:dyDescent="0.25">
      <c r="A136" s="26">
        <v>45783</v>
      </c>
      <c r="B136" s="28">
        <v>-12</v>
      </c>
      <c r="C136" s="29">
        <v>-47</v>
      </c>
      <c r="D136" s="29">
        <v>-74</v>
      </c>
      <c r="E136" s="29">
        <v>-100</v>
      </c>
      <c r="F136" s="29">
        <v>-116</v>
      </c>
      <c r="G136" s="29">
        <v>-117</v>
      </c>
      <c r="H136" s="29">
        <v>-87</v>
      </c>
      <c r="I136" s="29">
        <v>-40</v>
      </c>
      <c r="J136" s="29">
        <v>6</v>
      </c>
      <c r="K136" s="29">
        <v>49</v>
      </c>
      <c r="L136" s="29">
        <v>89</v>
      </c>
      <c r="M136" s="29">
        <v>117</v>
      </c>
      <c r="N136" s="29">
        <v>125</v>
      </c>
      <c r="O136" s="29">
        <v>118</v>
      </c>
      <c r="P136" s="29">
        <v>99</v>
      </c>
      <c r="Q136" s="29">
        <v>72</v>
      </c>
      <c r="R136" s="29">
        <v>48</v>
      </c>
      <c r="S136" s="29">
        <v>27</v>
      </c>
      <c r="T136" s="29">
        <v>12</v>
      </c>
      <c r="U136" s="29">
        <v>12</v>
      </c>
      <c r="V136" s="29">
        <v>20</v>
      </c>
      <c r="W136" s="29">
        <v>31</v>
      </c>
      <c r="X136" s="29">
        <v>39</v>
      </c>
      <c r="Y136" s="30">
        <v>39</v>
      </c>
      <c r="Z136" s="24">
        <v>310</v>
      </c>
      <c r="AA136" s="24">
        <v>13</v>
      </c>
      <c r="AB136" s="2">
        <f t="shared" si="6"/>
        <v>125</v>
      </c>
    </row>
    <row r="137" spans="1:28" ht="15" customHeight="1" x14ac:dyDescent="0.25">
      <c r="A137" s="26">
        <v>45784</v>
      </c>
      <c r="B137" s="28">
        <v>31</v>
      </c>
      <c r="C137" s="29">
        <v>7</v>
      </c>
      <c r="D137" s="29">
        <v>-21</v>
      </c>
      <c r="E137" s="29">
        <v>-50</v>
      </c>
      <c r="F137" s="29">
        <v>-80</v>
      </c>
      <c r="G137" s="29">
        <v>-102</v>
      </c>
      <c r="H137" s="29">
        <v>-108</v>
      </c>
      <c r="I137" s="29">
        <v>-87</v>
      </c>
      <c r="J137" s="29">
        <v>-38</v>
      </c>
      <c r="K137" s="29">
        <v>12</v>
      </c>
      <c r="L137" s="29">
        <v>60</v>
      </c>
      <c r="M137" s="29">
        <v>98</v>
      </c>
      <c r="N137" s="29">
        <v>120</v>
      </c>
      <c r="O137" s="29">
        <v>129</v>
      </c>
      <c r="P137" s="29">
        <v>113</v>
      </c>
      <c r="Q137" s="29">
        <v>82</v>
      </c>
      <c r="R137" s="29">
        <v>46</v>
      </c>
      <c r="S137" s="29">
        <v>15</v>
      </c>
      <c r="T137" s="29">
        <v>-12</v>
      </c>
      <c r="U137" s="29">
        <v>-32</v>
      </c>
      <c r="V137" s="29">
        <v>-30</v>
      </c>
      <c r="W137" s="29">
        <v>-6</v>
      </c>
      <c r="X137" s="29">
        <v>15</v>
      </c>
      <c r="Y137" s="30">
        <v>38</v>
      </c>
      <c r="Z137" s="24">
        <v>200</v>
      </c>
      <c r="AA137" s="24">
        <v>8</v>
      </c>
      <c r="AB137" s="2">
        <f t="shared" si="6"/>
        <v>129</v>
      </c>
    </row>
    <row r="138" spans="1:28" ht="15" customHeight="1" x14ac:dyDescent="0.25">
      <c r="A138" s="26">
        <v>45785</v>
      </c>
      <c r="B138" s="28">
        <v>54</v>
      </c>
      <c r="C138" s="29">
        <v>55</v>
      </c>
      <c r="D138" s="29">
        <v>39</v>
      </c>
      <c r="E138" s="29">
        <v>8</v>
      </c>
      <c r="F138" s="29">
        <v>-23</v>
      </c>
      <c r="G138" s="29">
        <v>-56</v>
      </c>
      <c r="H138" s="29">
        <v>-83</v>
      </c>
      <c r="I138" s="29">
        <v>-93</v>
      </c>
      <c r="J138" s="29">
        <v>-70</v>
      </c>
      <c r="K138" s="29">
        <v>-22</v>
      </c>
      <c r="L138" s="29">
        <v>29</v>
      </c>
      <c r="M138" s="29">
        <v>78</v>
      </c>
      <c r="N138" s="29">
        <v>111</v>
      </c>
      <c r="O138" s="29">
        <v>128</v>
      </c>
      <c r="P138" s="29">
        <v>119</v>
      </c>
      <c r="Q138" s="29">
        <v>92</v>
      </c>
      <c r="R138" s="29">
        <v>51</v>
      </c>
      <c r="S138" s="29">
        <v>9</v>
      </c>
      <c r="T138" s="29">
        <v>-22</v>
      </c>
      <c r="U138" s="29">
        <v>-50</v>
      </c>
      <c r="V138" s="29">
        <v>-66</v>
      </c>
      <c r="W138" s="29">
        <v>-57</v>
      </c>
      <c r="X138" s="29">
        <v>-21</v>
      </c>
      <c r="Y138" s="30">
        <v>20</v>
      </c>
      <c r="Z138" s="24">
        <v>230</v>
      </c>
      <c r="AA138" s="24">
        <v>10</v>
      </c>
      <c r="AB138" s="2">
        <f t="shared" si="6"/>
        <v>128</v>
      </c>
    </row>
    <row r="139" spans="1:28" ht="15" customHeight="1" x14ac:dyDescent="0.25">
      <c r="A139" s="26">
        <v>45786</v>
      </c>
      <c r="B139" s="28">
        <v>51</v>
      </c>
      <c r="C139" s="29">
        <v>66</v>
      </c>
      <c r="D139" s="29">
        <v>69</v>
      </c>
      <c r="E139" s="29">
        <v>54</v>
      </c>
      <c r="F139" s="29">
        <v>22</v>
      </c>
      <c r="G139" s="29">
        <v>-14</v>
      </c>
      <c r="H139" s="29">
        <v>-46</v>
      </c>
      <c r="I139" s="29">
        <v>-72</v>
      </c>
      <c r="J139" s="29">
        <v>-77</v>
      </c>
      <c r="K139" s="29">
        <v>-45</v>
      </c>
      <c r="L139" s="29">
        <v>8</v>
      </c>
      <c r="M139" s="29">
        <v>58</v>
      </c>
      <c r="N139" s="29">
        <v>92</v>
      </c>
      <c r="O139" s="29">
        <v>116</v>
      </c>
      <c r="P139" s="29">
        <v>122</v>
      </c>
      <c r="Q139" s="29">
        <v>101</v>
      </c>
      <c r="R139" s="29">
        <v>61</v>
      </c>
      <c r="S139" s="29">
        <v>17</v>
      </c>
      <c r="T139" s="29">
        <v>-21</v>
      </c>
      <c r="U139" s="29">
        <v>-58</v>
      </c>
      <c r="V139" s="29">
        <v>-84</v>
      </c>
      <c r="W139" s="29">
        <v>-95</v>
      </c>
      <c r="X139" s="29">
        <v>-66</v>
      </c>
      <c r="Y139" s="30">
        <v>-13</v>
      </c>
      <c r="Z139" s="24">
        <v>246</v>
      </c>
      <c r="AA139" s="24">
        <v>10</v>
      </c>
      <c r="AB139" s="2">
        <f t="shared" si="6"/>
        <v>122</v>
      </c>
    </row>
    <row r="140" spans="1:28" ht="15" customHeight="1" x14ac:dyDescent="0.25">
      <c r="A140" s="26">
        <v>45787</v>
      </c>
      <c r="B140" s="28">
        <v>34</v>
      </c>
      <c r="C140" s="29">
        <v>67</v>
      </c>
      <c r="D140" s="29">
        <v>86</v>
      </c>
      <c r="E140" s="29">
        <v>91</v>
      </c>
      <c r="F140" s="29">
        <v>66</v>
      </c>
      <c r="G140" s="29">
        <v>28</v>
      </c>
      <c r="H140" s="29">
        <v>-4</v>
      </c>
      <c r="I140" s="29">
        <v>-37</v>
      </c>
      <c r="J140" s="29">
        <v>-55</v>
      </c>
      <c r="K140" s="29">
        <v>-63</v>
      </c>
      <c r="L140" s="29">
        <v>-16</v>
      </c>
      <c r="M140" s="29">
        <v>31</v>
      </c>
      <c r="N140" s="29">
        <v>73</v>
      </c>
      <c r="O140" s="29">
        <v>103</v>
      </c>
      <c r="P140" s="29">
        <v>117</v>
      </c>
      <c r="Q140" s="29">
        <v>105</v>
      </c>
      <c r="R140" s="29">
        <v>68</v>
      </c>
      <c r="S140" s="29">
        <v>20</v>
      </c>
      <c r="T140" s="29">
        <v>-23</v>
      </c>
      <c r="U140" s="29">
        <v>-64</v>
      </c>
      <c r="V140" s="29">
        <v>-93</v>
      </c>
      <c r="W140" s="29">
        <v>-111</v>
      </c>
      <c r="X140" s="29">
        <v>-109</v>
      </c>
      <c r="Y140" s="30">
        <v>-59</v>
      </c>
      <c r="Z140" s="24">
        <v>255</v>
      </c>
      <c r="AA140" s="24">
        <v>11</v>
      </c>
      <c r="AB140" s="2">
        <f t="shared" si="6"/>
        <v>117</v>
      </c>
    </row>
    <row r="141" spans="1:28" ht="15" customHeight="1" x14ac:dyDescent="0.25">
      <c r="A141" s="26">
        <v>45788</v>
      </c>
      <c r="B141" s="28">
        <v>-1</v>
      </c>
      <c r="C141" s="29">
        <v>48</v>
      </c>
      <c r="D141" s="29">
        <v>80</v>
      </c>
      <c r="E141" s="29">
        <v>102</v>
      </c>
      <c r="F141" s="29">
        <v>97</v>
      </c>
      <c r="G141" s="29">
        <v>68</v>
      </c>
      <c r="H141" s="29">
        <v>31</v>
      </c>
      <c r="I141" s="29">
        <v>-5</v>
      </c>
      <c r="J141" s="29">
        <v>-25</v>
      </c>
      <c r="K141" s="29">
        <v>-37</v>
      </c>
      <c r="L141" s="29">
        <v>-16</v>
      </c>
      <c r="M141" s="29">
        <v>31</v>
      </c>
      <c r="N141" s="29">
        <v>73</v>
      </c>
      <c r="O141" s="29">
        <v>108</v>
      </c>
      <c r="P141" s="29">
        <v>123</v>
      </c>
      <c r="Q141" s="29">
        <v>127</v>
      </c>
      <c r="R141" s="29">
        <v>91</v>
      </c>
      <c r="S141" s="29">
        <v>43</v>
      </c>
      <c r="T141" s="29">
        <v>-5</v>
      </c>
      <c r="U141" s="29">
        <v>-45</v>
      </c>
      <c r="V141" s="29">
        <v>-81</v>
      </c>
      <c r="W141" s="29">
        <v>-103</v>
      </c>
      <c r="X141" s="29">
        <v>-115</v>
      </c>
      <c r="Y141" s="30">
        <v>-93</v>
      </c>
      <c r="Z141" s="24">
        <v>496</v>
      </c>
      <c r="AA141" s="24">
        <v>21</v>
      </c>
      <c r="AB141" s="2">
        <f t="shared" si="6"/>
        <v>127</v>
      </c>
    </row>
    <row r="142" spans="1:28" ht="15" customHeight="1" x14ac:dyDescent="0.25">
      <c r="A142" s="26">
        <v>45789</v>
      </c>
      <c r="B142" s="28">
        <v>-20</v>
      </c>
      <c r="C142" s="29">
        <v>38</v>
      </c>
      <c r="D142" s="29">
        <v>78</v>
      </c>
      <c r="E142" s="29">
        <v>107</v>
      </c>
      <c r="F142" s="29">
        <v>118</v>
      </c>
      <c r="G142" s="29">
        <v>105</v>
      </c>
      <c r="H142" s="29">
        <v>69</v>
      </c>
      <c r="I142" s="29">
        <v>30</v>
      </c>
      <c r="J142" s="29">
        <v>0</v>
      </c>
      <c r="K142" s="29">
        <v>-18</v>
      </c>
      <c r="L142" s="29">
        <v>-14</v>
      </c>
      <c r="M142" s="29">
        <v>30</v>
      </c>
      <c r="N142" s="29">
        <v>74</v>
      </c>
      <c r="O142" s="29">
        <v>105</v>
      </c>
      <c r="P142" s="29">
        <v>123</v>
      </c>
      <c r="Q142" s="29">
        <v>125</v>
      </c>
      <c r="R142" s="29">
        <v>98</v>
      </c>
      <c r="S142" s="29">
        <v>55</v>
      </c>
      <c r="T142" s="29">
        <v>7</v>
      </c>
      <c r="U142" s="29">
        <v>-40</v>
      </c>
      <c r="V142" s="29">
        <v>-75</v>
      </c>
      <c r="W142" s="29">
        <v>-104</v>
      </c>
      <c r="X142" s="29">
        <v>-121</v>
      </c>
      <c r="Y142" s="30">
        <v>-121</v>
      </c>
      <c r="Z142" s="24">
        <v>649</v>
      </c>
      <c r="AA142" s="24">
        <v>27</v>
      </c>
      <c r="AB142" s="2">
        <f t="shared" si="6"/>
        <v>125</v>
      </c>
    </row>
    <row r="143" spans="1:28" ht="15" customHeight="1" x14ac:dyDescent="0.25">
      <c r="A143" s="26">
        <v>45790</v>
      </c>
      <c r="B143" s="28">
        <v>-66</v>
      </c>
      <c r="C143" s="29">
        <v>9</v>
      </c>
      <c r="D143" s="29">
        <v>57</v>
      </c>
      <c r="E143" s="29">
        <v>95</v>
      </c>
      <c r="F143" s="29">
        <v>120</v>
      </c>
      <c r="G143" s="29">
        <v>121</v>
      </c>
      <c r="H143" s="29">
        <v>101</v>
      </c>
      <c r="I143" s="29">
        <v>63</v>
      </c>
      <c r="J143" s="29">
        <v>29</v>
      </c>
      <c r="K143" s="29">
        <v>2</v>
      </c>
      <c r="L143" s="29">
        <v>-3</v>
      </c>
      <c r="M143" s="29">
        <v>23</v>
      </c>
      <c r="N143" s="29">
        <v>63</v>
      </c>
      <c r="O143" s="29">
        <v>98</v>
      </c>
      <c r="P143" s="29">
        <v>121</v>
      </c>
      <c r="Q143" s="29">
        <v>130</v>
      </c>
      <c r="R143" s="29">
        <v>114</v>
      </c>
      <c r="S143" s="29">
        <v>78</v>
      </c>
      <c r="T143" s="29">
        <v>31</v>
      </c>
      <c r="U143" s="29">
        <v>-20</v>
      </c>
      <c r="V143" s="29">
        <v>-65</v>
      </c>
      <c r="W143" s="29">
        <v>-96</v>
      </c>
      <c r="X143" s="29">
        <v>-119</v>
      </c>
      <c r="Y143" s="30">
        <v>-128</v>
      </c>
      <c r="Z143" s="24">
        <v>758</v>
      </c>
      <c r="AA143" s="24">
        <v>32</v>
      </c>
      <c r="AB143" s="2">
        <f t="shared" si="6"/>
        <v>130</v>
      </c>
    </row>
    <row r="144" spans="1:28" ht="15" customHeight="1" x14ac:dyDescent="0.25">
      <c r="A144" s="26">
        <v>45791</v>
      </c>
      <c r="B144" s="28">
        <v>-107</v>
      </c>
      <c r="C144" s="29">
        <v>-34</v>
      </c>
      <c r="D144" s="29">
        <v>34</v>
      </c>
      <c r="E144" s="29">
        <v>79</v>
      </c>
      <c r="F144" s="29">
        <v>112</v>
      </c>
      <c r="G144" s="29">
        <v>129</v>
      </c>
      <c r="H144" s="29">
        <v>120</v>
      </c>
      <c r="I144" s="29">
        <v>94</v>
      </c>
      <c r="J144" s="29">
        <v>61</v>
      </c>
      <c r="K144" s="29">
        <v>35</v>
      </c>
      <c r="L144" s="29">
        <v>21</v>
      </c>
      <c r="M144" s="29">
        <v>30</v>
      </c>
      <c r="N144" s="29">
        <v>59</v>
      </c>
      <c r="O144" s="29">
        <v>97</v>
      </c>
      <c r="P144" s="29">
        <v>123</v>
      </c>
      <c r="Q144" s="29">
        <v>135</v>
      </c>
      <c r="R144" s="29">
        <v>120</v>
      </c>
      <c r="S144" s="29">
        <v>96</v>
      </c>
      <c r="T144" s="29">
        <v>50</v>
      </c>
      <c r="U144" s="29">
        <v>2</v>
      </c>
      <c r="V144" s="29">
        <v>-45</v>
      </c>
      <c r="W144" s="29">
        <v>-83</v>
      </c>
      <c r="X144" s="29">
        <v>-111</v>
      </c>
      <c r="Y144" s="30">
        <v>-128</v>
      </c>
      <c r="Z144" s="24">
        <v>889</v>
      </c>
      <c r="AA144" s="24">
        <v>37</v>
      </c>
      <c r="AB144" s="2">
        <f t="shared" si="6"/>
        <v>135</v>
      </c>
    </row>
    <row r="145" spans="1:28" ht="15" customHeight="1" x14ac:dyDescent="0.25">
      <c r="A145" s="26">
        <v>45792</v>
      </c>
      <c r="B145" s="28">
        <v>-132</v>
      </c>
      <c r="C145" s="29">
        <v>-83</v>
      </c>
      <c r="D145" s="29">
        <v>-13</v>
      </c>
      <c r="E145" s="29">
        <v>47</v>
      </c>
      <c r="F145" s="29">
        <v>95</v>
      </c>
      <c r="G145" s="29">
        <v>122</v>
      </c>
      <c r="H145" s="29">
        <v>129</v>
      </c>
      <c r="I145" s="29">
        <v>120</v>
      </c>
      <c r="J145" s="29">
        <v>86</v>
      </c>
      <c r="K145" s="29">
        <v>59</v>
      </c>
      <c r="L145" s="29">
        <v>37</v>
      </c>
      <c r="M145" s="29">
        <v>37</v>
      </c>
      <c r="N145" s="29">
        <v>59</v>
      </c>
      <c r="O145" s="29">
        <v>90</v>
      </c>
      <c r="P145" s="29">
        <v>115</v>
      </c>
      <c r="Q145" s="29">
        <v>133</v>
      </c>
      <c r="R145" s="29">
        <v>132</v>
      </c>
      <c r="S145" s="29">
        <v>115</v>
      </c>
      <c r="T145" s="29">
        <v>72</v>
      </c>
      <c r="U145" s="29">
        <v>23</v>
      </c>
      <c r="V145" s="29">
        <v>-28</v>
      </c>
      <c r="W145" s="29">
        <v>-67</v>
      </c>
      <c r="X145" s="29">
        <v>-99</v>
      </c>
      <c r="Y145" s="30">
        <v>-122</v>
      </c>
      <c r="Z145" s="24">
        <v>927</v>
      </c>
      <c r="AA145" s="24">
        <v>39</v>
      </c>
      <c r="AB145" s="2">
        <f t="shared" si="6"/>
        <v>133</v>
      </c>
    </row>
    <row r="146" spans="1:28" ht="15" customHeight="1" x14ac:dyDescent="0.25">
      <c r="A146" s="26">
        <v>45793</v>
      </c>
      <c r="B146" s="28">
        <v>-134</v>
      </c>
      <c r="C146" s="29">
        <v>-120</v>
      </c>
      <c r="D146" s="29">
        <v>-49</v>
      </c>
      <c r="E146" s="29">
        <v>20</v>
      </c>
      <c r="F146" s="29">
        <v>66</v>
      </c>
      <c r="G146" s="29">
        <v>101</v>
      </c>
      <c r="H146" s="29">
        <v>126</v>
      </c>
      <c r="I146" s="29">
        <v>127</v>
      </c>
      <c r="J146" s="29">
        <v>110</v>
      </c>
      <c r="K146" s="29">
        <v>84</v>
      </c>
      <c r="L146" s="29">
        <v>63</v>
      </c>
      <c r="M146" s="29">
        <v>54</v>
      </c>
      <c r="N146" s="29">
        <v>61</v>
      </c>
      <c r="O146" s="29">
        <v>80</v>
      </c>
      <c r="P146" s="29">
        <v>105</v>
      </c>
      <c r="Q146" s="29">
        <v>124</v>
      </c>
      <c r="R146" s="29">
        <v>134</v>
      </c>
      <c r="S146" s="29">
        <v>121</v>
      </c>
      <c r="T146" s="29">
        <v>90</v>
      </c>
      <c r="U146" s="29">
        <v>50</v>
      </c>
      <c r="V146" s="29">
        <v>2</v>
      </c>
      <c r="W146" s="29">
        <v>-43</v>
      </c>
      <c r="X146" s="29">
        <v>-80</v>
      </c>
      <c r="Y146" s="30">
        <v>-108</v>
      </c>
      <c r="Z146" s="24">
        <v>984</v>
      </c>
      <c r="AA146" s="24">
        <v>41</v>
      </c>
      <c r="AB146" s="2">
        <f t="shared" si="6"/>
        <v>134</v>
      </c>
    </row>
    <row r="147" spans="1:28" ht="15" customHeight="1" x14ac:dyDescent="0.25">
      <c r="A147" s="26">
        <v>45794</v>
      </c>
      <c r="B147" s="28">
        <v>-127</v>
      </c>
      <c r="C147" s="29">
        <v>-133</v>
      </c>
      <c r="D147" s="29">
        <v>-95</v>
      </c>
      <c r="E147" s="29">
        <v>-22</v>
      </c>
      <c r="F147" s="29">
        <v>36</v>
      </c>
      <c r="G147" s="29">
        <v>79</v>
      </c>
      <c r="H147" s="29">
        <v>110</v>
      </c>
      <c r="I147" s="29">
        <v>127</v>
      </c>
      <c r="J147" s="29">
        <v>121</v>
      </c>
      <c r="K147" s="29">
        <v>103</v>
      </c>
      <c r="L147" s="29">
        <v>92</v>
      </c>
      <c r="M147" s="29">
        <v>63</v>
      </c>
      <c r="N147" s="29">
        <v>58</v>
      </c>
      <c r="O147" s="29">
        <v>77</v>
      </c>
      <c r="P147" s="29">
        <v>81</v>
      </c>
      <c r="Q147" s="29">
        <v>106</v>
      </c>
      <c r="R147" s="29">
        <v>116</v>
      </c>
      <c r="S147" s="29">
        <v>109</v>
      </c>
      <c r="T147" s="29">
        <v>90</v>
      </c>
      <c r="U147" s="29">
        <v>66</v>
      </c>
      <c r="V147" s="29">
        <v>24</v>
      </c>
      <c r="W147" s="29">
        <v>-21</v>
      </c>
      <c r="X147" s="29">
        <v>-63</v>
      </c>
      <c r="Y147" s="30">
        <v>-95</v>
      </c>
      <c r="Z147" s="24">
        <v>902</v>
      </c>
      <c r="AA147" s="24">
        <v>38</v>
      </c>
      <c r="AB147" s="2">
        <f t="shared" si="6"/>
        <v>127</v>
      </c>
    </row>
    <row r="148" spans="1:28" ht="15" customHeight="1" x14ac:dyDescent="0.25">
      <c r="A148" s="26">
        <v>45795</v>
      </c>
      <c r="B148" s="28">
        <v>-116</v>
      </c>
      <c r="C148" s="29">
        <v>-131</v>
      </c>
      <c r="D148" s="29">
        <v>-128</v>
      </c>
      <c r="E148" s="29">
        <v>-94</v>
      </c>
      <c r="F148" s="29">
        <v>-10</v>
      </c>
      <c r="G148" s="29">
        <v>40</v>
      </c>
      <c r="H148" s="29">
        <v>78</v>
      </c>
      <c r="I148" s="29">
        <v>111</v>
      </c>
      <c r="J148" s="29">
        <v>125</v>
      </c>
      <c r="K148" s="29">
        <v>120</v>
      </c>
      <c r="L148" s="29">
        <v>102</v>
      </c>
      <c r="M148" s="29">
        <v>86</v>
      </c>
      <c r="N148" s="29">
        <v>75</v>
      </c>
      <c r="O148" s="29">
        <v>81</v>
      </c>
      <c r="P148" s="29">
        <v>92</v>
      </c>
      <c r="Q148" s="29">
        <v>107</v>
      </c>
      <c r="R148" s="29">
        <v>114</v>
      </c>
      <c r="S148" s="29">
        <v>121</v>
      </c>
      <c r="T148" s="29">
        <v>109</v>
      </c>
      <c r="U148" s="29">
        <v>85</v>
      </c>
      <c r="V148" s="29">
        <v>49</v>
      </c>
      <c r="W148" s="29">
        <v>5</v>
      </c>
      <c r="X148" s="29">
        <v>-36</v>
      </c>
      <c r="Y148" s="30">
        <v>-71</v>
      </c>
      <c r="Z148" s="24">
        <v>914</v>
      </c>
      <c r="AA148" s="24">
        <v>38</v>
      </c>
      <c r="AB148" s="2">
        <f t="shared" si="6"/>
        <v>125</v>
      </c>
    </row>
    <row r="149" spans="1:28" ht="15" customHeight="1" x14ac:dyDescent="0.25">
      <c r="A149" s="26">
        <v>45796</v>
      </c>
      <c r="B149" s="28">
        <v>-97</v>
      </c>
      <c r="C149" s="29">
        <v>-112</v>
      </c>
      <c r="D149" s="29">
        <v>-122</v>
      </c>
      <c r="E149" s="29">
        <v>-104</v>
      </c>
      <c r="F149" s="29">
        <v>-50</v>
      </c>
      <c r="G149" s="29">
        <v>8</v>
      </c>
      <c r="H149" s="29">
        <v>52</v>
      </c>
      <c r="I149" s="29">
        <v>87</v>
      </c>
      <c r="J149" s="29">
        <v>110</v>
      </c>
      <c r="K149" s="29">
        <v>120</v>
      </c>
      <c r="L149" s="29">
        <v>118</v>
      </c>
      <c r="M149" s="29">
        <v>110</v>
      </c>
      <c r="N149" s="29">
        <v>91</v>
      </c>
      <c r="O149" s="29">
        <v>82</v>
      </c>
      <c r="P149" s="29">
        <v>80</v>
      </c>
      <c r="Q149" s="29">
        <v>82</v>
      </c>
      <c r="R149" s="29">
        <v>94</v>
      </c>
      <c r="S149" s="29">
        <v>100</v>
      </c>
      <c r="T149" s="29">
        <v>98</v>
      </c>
      <c r="U149" s="29">
        <v>83</v>
      </c>
      <c r="V149" s="29">
        <v>59</v>
      </c>
      <c r="W149" s="29">
        <v>25</v>
      </c>
      <c r="X149" s="29">
        <v>-12</v>
      </c>
      <c r="Y149" s="30">
        <v>-49</v>
      </c>
      <c r="Z149" s="24">
        <v>853</v>
      </c>
      <c r="AA149" s="24">
        <v>36</v>
      </c>
      <c r="AB149" s="2">
        <f t="shared" si="6"/>
        <v>120</v>
      </c>
    </row>
    <row r="150" spans="1:28" ht="15" customHeight="1" x14ac:dyDescent="0.25">
      <c r="A150" s="26">
        <v>45797</v>
      </c>
      <c r="B150" s="28">
        <v>-82</v>
      </c>
      <c r="C150" s="29">
        <v>-106</v>
      </c>
      <c r="D150" s="29">
        <v>-122</v>
      </c>
      <c r="E150" s="29">
        <v>-124</v>
      </c>
      <c r="F150" s="29">
        <v>-90</v>
      </c>
      <c r="G150" s="29">
        <v>-42</v>
      </c>
      <c r="H150" s="29">
        <v>8</v>
      </c>
      <c r="I150" s="29">
        <v>50</v>
      </c>
      <c r="J150" s="29">
        <v>89</v>
      </c>
      <c r="K150" s="29">
        <v>112</v>
      </c>
      <c r="L150" s="29">
        <v>120</v>
      </c>
      <c r="M150" s="29">
        <v>114</v>
      </c>
      <c r="N150" s="29">
        <v>99</v>
      </c>
      <c r="O150" s="29">
        <v>84</v>
      </c>
      <c r="P150" s="29">
        <v>70</v>
      </c>
      <c r="Q150" s="29">
        <v>64</v>
      </c>
      <c r="R150" s="29">
        <v>65</v>
      </c>
      <c r="S150" s="29">
        <v>69</v>
      </c>
      <c r="T150" s="29">
        <v>74</v>
      </c>
      <c r="U150" s="29">
        <v>74</v>
      </c>
      <c r="V150" s="29">
        <v>67</v>
      </c>
      <c r="W150" s="29">
        <v>50</v>
      </c>
      <c r="X150" s="29">
        <v>24</v>
      </c>
      <c r="Y150" s="30">
        <v>-15</v>
      </c>
      <c r="Z150" s="24">
        <v>652</v>
      </c>
      <c r="AA150" s="24">
        <v>27</v>
      </c>
      <c r="AB150" s="2">
        <f t="shared" si="6"/>
        <v>120</v>
      </c>
    </row>
    <row r="151" spans="1:28" ht="15" customHeight="1" x14ac:dyDescent="0.25">
      <c r="A151" s="26">
        <v>45798</v>
      </c>
      <c r="B151" s="28">
        <v>-51</v>
      </c>
      <c r="C151" s="29">
        <v>-84</v>
      </c>
      <c r="D151" s="29">
        <v>-109</v>
      </c>
      <c r="E151" s="29">
        <v>-123</v>
      </c>
      <c r="F151" s="29">
        <v>-124</v>
      </c>
      <c r="G151" s="29">
        <v>-92</v>
      </c>
      <c r="H151" s="29">
        <v>-40</v>
      </c>
      <c r="I151" s="29">
        <v>9</v>
      </c>
      <c r="J151" s="29">
        <v>53</v>
      </c>
      <c r="K151" s="29">
        <v>90</v>
      </c>
      <c r="L151" s="29">
        <v>116</v>
      </c>
      <c r="M151" s="29">
        <v>126</v>
      </c>
      <c r="N151" s="29">
        <v>116</v>
      </c>
      <c r="O151" s="29">
        <v>95</v>
      </c>
      <c r="P151" s="29">
        <v>72</v>
      </c>
      <c r="Q151" s="29">
        <v>49</v>
      </c>
      <c r="R151" s="29">
        <v>37</v>
      </c>
      <c r="S151" s="29">
        <v>30</v>
      </c>
      <c r="T151" s="29">
        <v>37</v>
      </c>
      <c r="U151" s="29">
        <v>47</v>
      </c>
      <c r="V151" s="29">
        <v>54</v>
      </c>
      <c r="W151" s="29">
        <v>58</v>
      </c>
      <c r="X151" s="29">
        <v>49</v>
      </c>
      <c r="Y151" s="30">
        <v>29</v>
      </c>
      <c r="Z151" s="24">
        <v>444</v>
      </c>
      <c r="AA151" s="24">
        <v>19</v>
      </c>
      <c r="AB151" s="2">
        <f t="shared" si="6"/>
        <v>126</v>
      </c>
    </row>
    <row r="152" spans="1:28" ht="15" customHeight="1" x14ac:dyDescent="0.25">
      <c r="A152" s="26">
        <v>45799</v>
      </c>
      <c r="B152" s="28">
        <v>-4</v>
      </c>
      <c r="C152" s="29">
        <v>-40</v>
      </c>
      <c r="D152" s="29">
        <v>-71</v>
      </c>
      <c r="E152" s="29">
        <v>-98</v>
      </c>
      <c r="F152" s="29">
        <v>-118</v>
      </c>
      <c r="G152" s="29">
        <v>-120</v>
      </c>
      <c r="H152" s="29">
        <v>-86</v>
      </c>
      <c r="I152" s="29">
        <v>-28</v>
      </c>
      <c r="J152" s="29">
        <v>20</v>
      </c>
      <c r="K152" s="29">
        <v>61</v>
      </c>
      <c r="L152" s="29">
        <v>100</v>
      </c>
      <c r="M152" s="29">
        <v>123</v>
      </c>
      <c r="N152" s="29">
        <v>125</v>
      </c>
      <c r="O152" s="29">
        <v>102</v>
      </c>
      <c r="P152" s="29">
        <v>73</v>
      </c>
      <c r="Q152" s="29">
        <v>38</v>
      </c>
      <c r="R152" s="29">
        <v>7</v>
      </c>
      <c r="S152" s="29">
        <v>-18</v>
      </c>
      <c r="T152" s="29">
        <v>-21</v>
      </c>
      <c r="U152" s="29">
        <v>-4</v>
      </c>
      <c r="V152" s="29">
        <v>20</v>
      </c>
      <c r="W152" s="29">
        <v>45</v>
      </c>
      <c r="X152" s="29">
        <v>54</v>
      </c>
      <c r="Y152" s="30">
        <v>59</v>
      </c>
      <c r="Z152" s="24">
        <v>219</v>
      </c>
      <c r="AA152" s="24">
        <v>9</v>
      </c>
      <c r="AB152" s="2">
        <f t="shared" si="6"/>
        <v>125</v>
      </c>
    </row>
    <row r="153" spans="1:28" ht="15" customHeight="1" x14ac:dyDescent="0.25">
      <c r="A153" s="26">
        <v>45800</v>
      </c>
      <c r="B153" s="28">
        <v>50</v>
      </c>
      <c r="C153" s="29">
        <v>28</v>
      </c>
      <c r="D153" s="29">
        <v>-7</v>
      </c>
      <c r="E153" s="29">
        <v>-46</v>
      </c>
      <c r="F153" s="29">
        <v>-78</v>
      </c>
      <c r="G153" s="29">
        <v>-100</v>
      </c>
      <c r="H153" s="29">
        <v>-100</v>
      </c>
      <c r="I153" s="29">
        <v>-65</v>
      </c>
      <c r="J153" s="29">
        <v>-13</v>
      </c>
      <c r="K153" s="29">
        <v>40</v>
      </c>
      <c r="L153" s="29">
        <v>86</v>
      </c>
      <c r="M153" s="29">
        <v>119</v>
      </c>
      <c r="N153" s="29">
        <v>136</v>
      </c>
      <c r="O153" s="29">
        <v>130</v>
      </c>
      <c r="P153" s="29">
        <v>99</v>
      </c>
      <c r="Q153" s="29">
        <v>54</v>
      </c>
      <c r="R153" s="29">
        <v>7</v>
      </c>
      <c r="S153" s="29">
        <v>-29</v>
      </c>
      <c r="T153" s="29">
        <v>-59</v>
      </c>
      <c r="U153" s="29">
        <v>-74</v>
      </c>
      <c r="V153" s="29">
        <v>-60</v>
      </c>
      <c r="W153" s="29">
        <v>-12</v>
      </c>
      <c r="X153" s="29">
        <v>30</v>
      </c>
      <c r="Y153" s="30">
        <v>61</v>
      </c>
      <c r="Z153" s="24">
        <v>197</v>
      </c>
      <c r="AA153" s="24">
        <v>8</v>
      </c>
      <c r="AB153" s="2">
        <f t="shared" si="6"/>
        <v>136</v>
      </c>
    </row>
    <row r="154" spans="1:28" ht="15" customHeight="1" x14ac:dyDescent="0.25">
      <c r="A154" s="26">
        <v>45801</v>
      </c>
      <c r="B154" s="28">
        <v>80</v>
      </c>
      <c r="C154" s="29">
        <v>86</v>
      </c>
      <c r="D154" s="29">
        <v>61</v>
      </c>
      <c r="E154" s="29">
        <v>31</v>
      </c>
      <c r="F154" s="29">
        <v>-8</v>
      </c>
      <c r="G154" s="29">
        <v>-41</v>
      </c>
      <c r="H154" s="29">
        <v>-68</v>
      </c>
      <c r="I154" s="29">
        <v>-78</v>
      </c>
      <c r="J154" s="29">
        <v>-41</v>
      </c>
      <c r="K154" s="29">
        <v>10</v>
      </c>
      <c r="L154" s="29">
        <v>65</v>
      </c>
      <c r="M154" s="29">
        <v>109</v>
      </c>
      <c r="N154" s="29">
        <v>142</v>
      </c>
      <c r="O154" s="29">
        <v>144</v>
      </c>
      <c r="P154" s="29">
        <v>118</v>
      </c>
      <c r="Q154" s="29">
        <v>70</v>
      </c>
      <c r="R154" s="29">
        <v>25</v>
      </c>
      <c r="S154" s="29">
        <v>-24</v>
      </c>
      <c r="T154" s="29">
        <v>-61</v>
      </c>
      <c r="U154" s="29">
        <v>-90</v>
      </c>
      <c r="V154" s="29">
        <v>-107</v>
      </c>
      <c r="W154" s="29">
        <v>-87</v>
      </c>
      <c r="X154" s="29">
        <v>-20</v>
      </c>
      <c r="Y154" s="30">
        <v>39</v>
      </c>
      <c r="Z154" s="24">
        <v>355</v>
      </c>
      <c r="AA154" s="24">
        <v>15</v>
      </c>
      <c r="AB154" s="2">
        <f t="shared" si="6"/>
        <v>144</v>
      </c>
    </row>
    <row r="155" spans="1:28" ht="15" customHeight="1" x14ac:dyDescent="0.25">
      <c r="A155" s="26">
        <v>45802</v>
      </c>
      <c r="B155" s="28">
        <v>83</v>
      </c>
      <c r="C155" s="29">
        <v>111</v>
      </c>
      <c r="D155" s="29">
        <v>116</v>
      </c>
      <c r="E155" s="29">
        <v>90</v>
      </c>
      <c r="F155" s="29">
        <v>51</v>
      </c>
      <c r="G155" s="29">
        <v>15</v>
      </c>
      <c r="H155" s="29">
        <v>-28</v>
      </c>
      <c r="I155" s="29">
        <v>-45</v>
      </c>
      <c r="J155" s="29">
        <v>-46</v>
      </c>
      <c r="K155" s="29">
        <v>-8</v>
      </c>
      <c r="L155" s="29">
        <v>50</v>
      </c>
      <c r="M155" s="29">
        <v>99</v>
      </c>
      <c r="N155" s="29">
        <v>130</v>
      </c>
      <c r="O155" s="29">
        <v>145</v>
      </c>
      <c r="P155" s="29">
        <v>138</v>
      </c>
      <c r="Q155" s="29">
        <v>97</v>
      </c>
      <c r="R155" s="29">
        <v>49</v>
      </c>
      <c r="S155" s="29">
        <v>-2</v>
      </c>
      <c r="T155" s="29">
        <v>-42</v>
      </c>
      <c r="U155" s="29">
        <v>-80</v>
      </c>
      <c r="V155" s="29">
        <v>-107</v>
      </c>
      <c r="W155" s="29">
        <v>-120</v>
      </c>
      <c r="X155" s="29">
        <v>-103</v>
      </c>
      <c r="Y155" s="30">
        <v>-27</v>
      </c>
      <c r="Z155" s="24">
        <v>566</v>
      </c>
      <c r="AA155" s="24">
        <v>24</v>
      </c>
      <c r="AB155" s="2">
        <f t="shared" si="6"/>
        <v>145</v>
      </c>
    </row>
    <row r="156" spans="1:28" ht="15" customHeight="1" x14ac:dyDescent="0.25">
      <c r="A156" s="26">
        <v>45803</v>
      </c>
      <c r="B156" s="28">
        <v>42</v>
      </c>
      <c r="C156" s="29">
        <v>87</v>
      </c>
      <c r="D156" s="29">
        <v>115</v>
      </c>
      <c r="E156" s="29">
        <v>128</v>
      </c>
      <c r="F156" s="29">
        <v>110</v>
      </c>
      <c r="G156" s="29">
        <v>69</v>
      </c>
      <c r="H156" s="29">
        <v>31</v>
      </c>
      <c r="I156" s="29">
        <v>-4</v>
      </c>
      <c r="J156" s="29">
        <v>-25</v>
      </c>
      <c r="K156" s="29">
        <v>-23</v>
      </c>
      <c r="L156" s="29">
        <v>26</v>
      </c>
      <c r="M156" s="29">
        <v>76</v>
      </c>
      <c r="N156" s="29">
        <v>118</v>
      </c>
      <c r="O156" s="29">
        <v>145</v>
      </c>
      <c r="P156" s="29">
        <v>148</v>
      </c>
      <c r="Q156" s="29">
        <v>122</v>
      </c>
      <c r="R156" s="29">
        <v>70</v>
      </c>
      <c r="S156" s="29">
        <v>17</v>
      </c>
      <c r="T156" s="29">
        <v>-31</v>
      </c>
      <c r="U156" s="29">
        <v>-70</v>
      </c>
      <c r="V156" s="29">
        <v>-99</v>
      </c>
      <c r="W156" s="29">
        <v>-123</v>
      </c>
      <c r="X156" s="29">
        <v>-136</v>
      </c>
      <c r="Y156" s="30">
        <v>-107</v>
      </c>
      <c r="Z156" s="24">
        <v>686</v>
      </c>
      <c r="AA156" s="24">
        <v>29</v>
      </c>
      <c r="AB156" s="2">
        <f t="shared" si="6"/>
        <v>148</v>
      </c>
    </row>
    <row r="157" spans="1:28" ht="15" customHeight="1" x14ac:dyDescent="0.25">
      <c r="A157" s="26">
        <v>45804</v>
      </c>
      <c r="B157" s="28">
        <v>-18</v>
      </c>
      <c r="C157" s="29">
        <v>53</v>
      </c>
      <c r="D157" s="29">
        <v>100</v>
      </c>
      <c r="E157" s="29">
        <v>134</v>
      </c>
      <c r="F157" s="29">
        <v>147</v>
      </c>
      <c r="G157" s="29">
        <v>129</v>
      </c>
      <c r="H157" s="29">
        <v>91</v>
      </c>
      <c r="I157" s="29">
        <v>52</v>
      </c>
      <c r="J157" s="29">
        <v>20</v>
      </c>
      <c r="K157" s="29">
        <v>3</v>
      </c>
      <c r="L157" s="29">
        <v>16</v>
      </c>
      <c r="M157" s="29">
        <v>60</v>
      </c>
      <c r="N157" s="29">
        <v>109</v>
      </c>
      <c r="O157" s="29">
        <v>140</v>
      </c>
      <c r="P157" s="29">
        <v>156</v>
      </c>
      <c r="Q157" s="29">
        <v>149</v>
      </c>
      <c r="R157" s="29">
        <v>114</v>
      </c>
      <c r="S157" s="29">
        <v>62</v>
      </c>
      <c r="T157" s="29">
        <v>4</v>
      </c>
      <c r="U157" s="29">
        <v>-46</v>
      </c>
      <c r="V157" s="29">
        <v>-81</v>
      </c>
      <c r="W157" s="29">
        <v>-115</v>
      </c>
      <c r="X157" s="29">
        <v>-136</v>
      </c>
      <c r="Y157" s="30">
        <v>-147</v>
      </c>
      <c r="Z157" s="24">
        <v>996</v>
      </c>
      <c r="AA157" s="24">
        <v>42</v>
      </c>
      <c r="AB157" s="2">
        <f t="shared" si="6"/>
        <v>156</v>
      </c>
    </row>
    <row r="158" spans="1:28" ht="15" customHeight="1" x14ac:dyDescent="0.25">
      <c r="A158" s="26">
        <v>45805</v>
      </c>
      <c r="B158" s="28">
        <v>-120</v>
      </c>
      <c r="C158" s="29">
        <v>-50</v>
      </c>
      <c r="D158" s="29">
        <v>27</v>
      </c>
      <c r="E158" s="29">
        <v>104</v>
      </c>
      <c r="F158" s="29">
        <v>142</v>
      </c>
      <c r="G158" s="29">
        <v>153</v>
      </c>
      <c r="H158" s="29">
        <v>132</v>
      </c>
      <c r="I158" s="29">
        <v>94</v>
      </c>
      <c r="J158" s="29">
        <v>62</v>
      </c>
      <c r="K158" s="29">
        <v>36</v>
      </c>
      <c r="L158" s="29">
        <v>27</v>
      </c>
      <c r="M158" s="29">
        <v>51</v>
      </c>
      <c r="N158" s="29">
        <v>89</v>
      </c>
      <c r="O158" s="29">
        <v>125</v>
      </c>
      <c r="P158" s="29">
        <v>147</v>
      </c>
      <c r="Q158" s="29">
        <v>152</v>
      </c>
      <c r="R158" s="29">
        <v>133</v>
      </c>
      <c r="S158" s="29">
        <v>89</v>
      </c>
      <c r="T158" s="29">
        <v>34</v>
      </c>
      <c r="U158" s="29">
        <v>-22</v>
      </c>
      <c r="V158" s="29">
        <v>-67</v>
      </c>
      <c r="W158" s="29">
        <v>-103</v>
      </c>
      <c r="X158" s="29">
        <v>-129</v>
      </c>
      <c r="Y158" s="30">
        <v>-149</v>
      </c>
      <c r="Z158" s="24">
        <v>957</v>
      </c>
      <c r="AA158" s="24">
        <v>40</v>
      </c>
      <c r="AB158" s="2">
        <f t="shared" si="6"/>
        <v>153</v>
      </c>
    </row>
    <row r="159" spans="1:28" ht="15" customHeight="1" x14ac:dyDescent="0.25">
      <c r="A159" s="26">
        <v>45806</v>
      </c>
      <c r="B159" s="28">
        <v>-151</v>
      </c>
      <c r="C159" s="29">
        <v>-100</v>
      </c>
      <c r="D159" s="29">
        <v>-2</v>
      </c>
      <c r="E159" s="29">
        <v>61</v>
      </c>
      <c r="F159" s="29">
        <v>106</v>
      </c>
      <c r="G159" s="29">
        <v>140</v>
      </c>
      <c r="H159" s="29">
        <v>148</v>
      </c>
      <c r="I159" s="29">
        <v>131</v>
      </c>
      <c r="J159" s="29">
        <v>103</v>
      </c>
      <c r="K159" s="29">
        <v>76</v>
      </c>
      <c r="L159" s="29">
        <v>55</v>
      </c>
      <c r="M159" s="29">
        <v>53</v>
      </c>
      <c r="N159" s="29">
        <v>81</v>
      </c>
      <c r="O159" s="29">
        <v>113</v>
      </c>
      <c r="P159" s="29">
        <v>139</v>
      </c>
      <c r="Q159" s="29">
        <v>159</v>
      </c>
      <c r="R159" s="29">
        <v>147</v>
      </c>
      <c r="S159" s="29">
        <v>120</v>
      </c>
      <c r="T159" s="29">
        <v>72</v>
      </c>
      <c r="U159" s="29">
        <v>21</v>
      </c>
      <c r="V159" s="29">
        <v>-31</v>
      </c>
      <c r="W159" s="29">
        <v>-74</v>
      </c>
      <c r="X159" s="29">
        <v>-109</v>
      </c>
      <c r="Y159" s="30">
        <v>-137</v>
      </c>
      <c r="Z159" s="24">
        <v>1121</v>
      </c>
      <c r="AA159" s="24">
        <v>47</v>
      </c>
      <c r="AB159" s="2">
        <f t="shared" si="6"/>
        <v>159</v>
      </c>
    </row>
    <row r="160" spans="1:28" ht="15" customHeight="1" x14ac:dyDescent="0.25">
      <c r="A160" s="26">
        <v>45807</v>
      </c>
      <c r="B160" s="28">
        <v>-157</v>
      </c>
      <c r="C160" s="29">
        <v>-157</v>
      </c>
      <c r="D160" s="29">
        <v>-90</v>
      </c>
      <c r="E160" s="29">
        <v>-3</v>
      </c>
      <c r="F160" s="29">
        <v>62</v>
      </c>
      <c r="G160" s="29">
        <v>100</v>
      </c>
      <c r="H160" s="29">
        <v>131</v>
      </c>
      <c r="I160" s="29">
        <v>145</v>
      </c>
      <c r="J160" s="29">
        <v>131</v>
      </c>
      <c r="K160" s="29">
        <v>109</v>
      </c>
      <c r="L160" s="29">
        <v>79</v>
      </c>
      <c r="M160" s="29">
        <v>64</v>
      </c>
      <c r="N160" s="29">
        <v>73</v>
      </c>
      <c r="O160" s="29">
        <v>87</v>
      </c>
      <c r="P160" s="29">
        <v>108</v>
      </c>
      <c r="Q160" s="29">
        <v>134</v>
      </c>
      <c r="R160" s="29">
        <v>140</v>
      </c>
      <c r="S160" s="29">
        <v>128</v>
      </c>
      <c r="T160" s="29">
        <v>96</v>
      </c>
      <c r="U160" s="29">
        <v>48</v>
      </c>
      <c r="V160" s="29">
        <v>1</v>
      </c>
      <c r="W160" s="29">
        <v>-48</v>
      </c>
      <c r="X160" s="29">
        <v>-89</v>
      </c>
      <c r="Y160" s="30">
        <v>-119</v>
      </c>
      <c r="Z160" s="24">
        <v>973</v>
      </c>
      <c r="AA160" s="24">
        <v>41</v>
      </c>
      <c r="AB160" s="2">
        <f t="shared" si="6"/>
        <v>145</v>
      </c>
    </row>
    <row r="161" spans="1:28" ht="15" customHeight="1" x14ac:dyDescent="0.25">
      <c r="A161" s="26">
        <v>45808</v>
      </c>
      <c r="B161" s="44">
        <v>-140</v>
      </c>
      <c r="C161" s="45">
        <v>-153</v>
      </c>
      <c r="D161" s="45">
        <v>-140</v>
      </c>
      <c r="E161" s="45">
        <v>-74</v>
      </c>
      <c r="F161" s="45">
        <v>-3</v>
      </c>
      <c r="G161" s="45">
        <v>53</v>
      </c>
      <c r="H161" s="45">
        <v>93</v>
      </c>
      <c r="I161" s="45">
        <v>126</v>
      </c>
      <c r="J161" s="45">
        <v>128</v>
      </c>
      <c r="K161" s="45">
        <v>110</v>
      </c>
      <c r="L161" s="45">
        <v>94</v>
      </c>
      <c r="M161" s="45">
        <v>72</v>
      </c>
      <c r="N161" s="45">
        <v>60</v>
      </c>
      <c r="O161" s="45">
        <v>67</v>
      </c>
      <c r="P161" s="45">
        <v>75</v>
      </c>
      <c r="Q161" s="45">
        <v>95</v>
      </c>
      <c r="R161" s="45">
        <v>108</v>
      </c>
      <c r="S161" s="45">
        <v>111</v>
      </c>
      <c r="T161" s="45">
        <v>96</v>
      </c>
      <c r="U161" s="45">
        <v>64</v>
      </c>
      <c r="V161" s="45">
        <v>27</v>
      </c>
      <c r="W161" s="45">
        <v>-20</v>
      </c>
      <c r="X161" s="45">
        <v>-62</v>
      </c>
      <c r="Y161" s="46">
        <v>-100</v>
      </c>
      <c r="Z161" s="37">
        <v>687</v>
      </c>
      <c r="AA161" s="37">
        <v>29</v>
      </c>
      <c r="AB161" s="2">
        <f t="shared" si="6"/>
        <v>128</v>
      </c>
    </row>
    <row r="162" spans="1:28" ht="15" customHeight="1" x14ac:dyDescent="0.25">
      <c r="A162" s="26">
        <v>45809</v>
      </c>
      <c r="B162" s="41">
        <v>-128</v>
      </c>
      <c r="C162" s="42">
        <v>-147</v>
      </c>
      <c r="D162" s="42">
        <v>-150</v>
      </c>
      <c r="E162" s="42">
        <v>-121</v>
      </c>
      <c r="F162" s="42">
        <v>-68</v>
      </c>
      <c r="G162" s="42">
        <v>7</v>
      </c>
      <c r="H162" s="42">
        <v>64</v>
      </c>
      <c r="I162" s="42">
        <v>96</v>
      </c>
      <c r="J162" s="42">
        <v>120</v>
      </c>
      <c r="K162" s="42">
        <v>122</v>
      </c>
      <c r="L162" s="42">
        <v>106</v>
      </c>
      <c r="M162" s="42">
        <v>89</v>
      </c>
      <c r="N162" s="42">
        <v>70</v>
      </c>
      <c r="O162" s="42">
        <v>61</v>
      </c>
      <c r="P162" s="42">
        <v>63</v>
      </c>
      <c r="Q162" s="42">
        <v>79</v>
      </c>
      <c r="R162" s="42">
        <v>88</v>
      </c>
      <c r="S162" s="42">
        <v>100</v>
      </c>
      <c r="T162" s="42">
        <v>95</v>
      </c>
      <c r="U162" s="42">
        <v>80</v>
      </c>
      <c r="V162" s="42">
        <v>48</v>
      </c>
      <c r="W162" s="42">
        <v>13</v>
      </c>
      <c r="X162" s="42">
        <v>-31</v>
      </c>
      <c r="Y162" s="43">
        <v>-70</v>
      </c>
      <c r="Z162" s="27">
        <v>586</v>
      </c>
      <c r="AA162" s="27">
        <v>24</v>
      </c>
      <c r="AB162" s="2">
        <f t="shared" si="6"/>
        <v>122</v>
      </c>
    </row>
    <row r="163" spans="1:28" ht="15" customHeight="1" x14ac:dyDescent="0.25">
      <c r="A163" s="26">
        <v>45810</v>
      </c>
      <c r="B163" s="28">
        <v>-103</v>
      </c>
      <c r="C163" s="29">
        <v>-129</v>
      </c>
      <c r="D163" s="29">
        <v>-145</v>
      </c>
      <c r="E163" s="29">
        <v>-142</v>
      </c>
      <c r="F163" s="29">
        <v>-95</v>
      </c>
      <c r="G163" s="29">
        <v>-37</v>
      </c>
      <c r="H163" s="29">
        <v>17</v>
      </c>
      <c r="I163" s="29">
        <v>60</v>
      </c>
      <c r="J163" s="29">
        <v>95</v>
      </c>
      <c r="K163" s="29">
        <v>109</v>
      </c>
      <c r="L163" s="29">
        <v>105</v>
      </c>
      <c r="M163" s="29">
        <v>97</v>
      </c>
      <c r="N163" s="29">
        <v>78</v>
      </c>
      <c r="O163" s="29">
        <v>58</v>
      </c>
      <c r="P163" s="29">
        <v>38</v>
      </c>
      <c r="Q163" s="29">
        <v>38</v>
      </c>
      <c r="R163" s="29">
        <v>42</v>
      </c>
      <c r="S163" s="29">
        <v>51</v>
      </c>
      <c r="T163" s="29">
        <v>61</v>
      </c>
      <c r="U163" s="29">
        <v>65</v>
      </c>
      <c r="V163" s="29">
        <v>52</v>
      </c>
      <c r="W163" s="29">
        <v>29</v>
      </c>
      <c r="X163" s="29">
        <v>-2</v>
      </c>
      <c r="Y163" s="30">
        <v>-40</v>
      </c>
      <c r="Z163" s="24">
        <v>302</v>
      </c>
      <c r="AA163" s="24">
        <v>13</v>
      </c>
      <c r="AB163" s="2">
        <f t="shared" si="6"/>
        <v>109</v>
      </c>
    </row>
    <row r="164" spans="1:28" ht="15" customHeight="1" x14ac:dyDescent="0.25">
      <c r="A164" s="26">
        <v>45811</v>
      </c>
      <c r="B164" s="28">
        <v>-74</v>
      </c>
      <c r="C164" s="29">
        <v>-100</v>
      </c>
      <c r="D164" s="29">
        <v>-121</v>
      </c>
      <c r="E164" s="29">
        <v>-133</v>
      </c>
      <c r="F164" s="29">
        <v>-125</v>
      </c>
      <c r="G164" s="29">
        <v>-74</v>
      </c>
      <c r="H164" s="29">
        <v>-19</v>
      </c>
      <c r="I164" s="29">
        <v>26</v>
      </c>
      <c r="J164" s="29">
        <v>64</v>
      </c>
      <c r="K164" s="29">
        <v>96</v>
      </c>
      <c r="L164" s="29">
        <v>108</v>
      </c>
      <c r="M164" s="29">
        <v>101</v>
      </c>
      <c r="N164" s="29">
        <v>84</v>
      </c>
      <c r="O164" s="29">
        <v>53</v>
      </c>
      <c r="P164" s="29">
        <v>27</v>
      </c>
      <c r="Q164" s="29">
        <v>5</v>
      </c>
      <c r="R164" s="29">
        <v>-2</v>
      </c>
      <c r="S164" s="29">
        <v>6</v>
      </c>
      <c r="T164" s="29">
        <v>10</v>
      </c>
      <c r="U164" s="29">
        <v>23</v>
      </c>
      <c r="V164" s="29">
        <v>37</v>
      </c>
      <c r="W164" s="29">
        <v>39</v>
      </c>
      <c r="X164" s="29">
        <v>39</v>
      </c>
      <c r="Y164" s="30">
        <v>14</v>
      </c>
      <c r="Z164" s="24">
        <v>84</v>
      </c>
      <c r="AA164" s="24">
        <v>4</v>
      </c>
      <c r="AB164" s="2">
        <f t="shared" si="6"/>
        <v>108</v>
      </c>
    </row>
    <row r="165" spans="1:28" ht="15" customHeight="1" x14ac:dyDescent="0.25">
      <c r="A165" s="26">
        <v>45812</v>
      </c>
      <c r="B165" s="28">
        <v>-18</v>
      </c>
      <c r="C165" s="29">
        <v>-50</v>
      </c>
      <c r="D165" s="29">
        <v>-82</v>
      </c>
      <c r="E165" s="29">
        <v>-102</v>
      </c>
      <c r="F165" s="29">
        <v>-105</v>
      </c>
      <c r="G165" s="29">
        <v>-98</v>
      </c>
      <c r="H165" s="29">
        <v>-52</v>
      </c>
      <c r="I165" s="29">
        <v>-3</v>
      </c>
      <c r="J165" s="29">
        <v>40</v>
      </c>
      <c r="K165" s="29">
        <v>81</v>
      </c>
      <c r="L165" s="29">
        <v>113</v>
      </c>
      <c r="M165" s="29">
        <v>122</v>
      </c>
      <c r="N165" s="29">
        <v>107</v>
      </c>
      <c r="O165" s="29">
        <v>89</v>
      </c>
      <c r="P165" s="29">
        <v>66</v>
      </c>
      <c r="Q165" s="29">
        <v>38</v>
      </c>
      <c r="R165" s="29">
        <v>1</v>
      </c>
      <c r="S165" s="29">
        <v>-31</v>
      </c>
      <c r="T165" s="29">
        <v>-39</v>
      </c>
      <c r="U165" s="29">
        <v>-19</v>
      </c>
      <c r="V165" s="29">
        <v>-4</v>
      </c>
      <c r="W165" s="29">
        <v>15</v>
      </c>
      <c r="X165" s="29">
        <v>31</v>
      </c>
      <c r="Y165" s="30">
        <v>32</v>
      </c>
      <c r="Z165" s="24">
        <v>132</v>
      </c>
      <c r="AA165" s="24">
        <v>6</v>
      </c>
      <c r="AB165" s="2">
        <f t="shared" ref="AB165:AB228" si="7">MAX(B165:Y165)</f>
        <v>122</v>
      </c>
    </row>
    <row r="166" spans="1:28" ht="15" customHeight="1" x14ac:dyDescent="0.25">
      <c r="A166" s="26">
        <v>45813</v>
      </c>
      <c r="B166" s="28">
        <v>23</v>
      </c>
      <c r="C166" s="29">
        <v>-1</v>
      </c>
      <c r="D166" s="29">
        <v>-13</v>
      </c>
      <c r="E166" s="29">
        <v>-43</v>
      </c>
      <c r="F166" s="29">
        <v>-75</v>
      </c>
      <c r="G166" s="29">
        <v>-86</v>
      </c>
      <c r="H166" s="29">
        <v>-60</v>
      </c>
      <c r="I166" s="29">
        <v>-25</v>
      </c>
      <c r="J166" s="29">
        <v>18</v>
      </c>
      <c r="K166" s="29">
        <v>60</v>
      </c>
      <c r="L166" s="29">
        <v>94</v>
      </c>
      <c r="M166" s="29">
        <v>112</v>
      </c>
      <c r="N166" s="29">
        <v>115</v>
      </c>
      <c r="O166" s="29">
        <v>94</v>
      </c>
      <c r="P166" s="29">
        <v>66</v>
      </c>
      <c r="Q166" s="29">
        <v>32</v>
      </c>
      <c r="R166" s="29">
        <v>-8</v>
      </c>
      <c r="S166" s="29">
        <v>-34</v>
      </c>
      <c r="T166" s="29">
        <v>-55</v>
      </c>
      <c r="U166" s="29">
        <v>-62</v>
      </c>
      <c r="V166" s="29">
        <v>-15</v>
      </c>
      <c r="W166" s="29">
        <v>5</v>
      </c>
      <c r="X166" s="29">
        <v>27</v>
      </c>
      <c r="Y166" s="30">
        <v>35</v>
      </c>
      <c r="Z166" s="24">
        <v>204</v>
      </c>
      <c r="AA166" s="24">
        <v>9</v>
      </c>
      <c r="AB166" s="2">
        <f t="shared" si="7"/>
        <v>115</v>
      </c>
    </row>
    <row r="167" spans="1:28" ht="15" customHeight="1" x14ac:dyDescent="0.25">
      <c r="A167" s="26">
        <v>45814</v>
      </c>
      <c r="B167" s="28">
        <v>35</v>
      </c>
      <c r="C167" s="29">
        <v>40</v>
      </c>
      <c r="D167" s="29">
        <v>23</v>
      </c>
      <c r="E167" s="29">
        <v>1</v>
      </c>
      <c r="F167" s="29">
        <v>-28</v>
      </c>
      <c r="G167" s="29">
        <v>-49</v>
      </c>
      <c r="H167" s="29">
        <v>-50</v>
      </c>
      <c r="I167" s="29">
        <v>-30</v>
      </c>
      <c r="J167" s="29">
        <v>1</v>
      </c>
      <c r="K167" s="29">
        <v>36</v>
      </c>
      <c r="L167" s="29">
        <v>72</v>
      </c>
      <c r="M167" s="29">
        <v>99</v>
      </c>
      <c r="N167" s="29">
        <v>107</v>
      </c>
      <c r="O167" s="29">
        <v>94</v>
      </c>
      <c r="P167" s="29">
        <v>66</v>
      </c>
      <c r="Q167" s="29">
        <v>30</v>
      </c>
      <c r="R167" s="29">
        <v>-14</v>
      </c>
      <c r="S167" s="29">
        <v>-50</v>
      </c>
      <c r="T167" s="29">
        <v>-80</v>
      </c>
      <c r="U167" s="29">
        <v>-94</v>
      </c>
      <c r="V167" s="29">
        <v>-92</v>
      </c>
      <c r="W167" s="29">
        <v>-63</v>
      </c>
      <c r="X167" s="29">
        <v>-21</v>
      </c>
      <c r="Y167" s="30">
        <v>11</v>
      </c>
      <c r="Z167" s="24">
        <v>44</v>
      </c>
      <c r="AA167" s="24">
        <v>2</v>
      </c>
      <c r="AB167" s="2">
        <f t="shared" si="7"/>
        <v>107</v>
      </c>
    </row>
    <row r="168" spans="1:28" ht="15" customHeight="1" x14ac:dyDescent="0.25">
      <c r="A168" s="26">
        <v>45815</v>
      </c>
      <c r="B168" s="28">
        <v>36</v>
      </c>
      <c r="C168" s="29">
        <v>62</v>
      </c>
      <c r="D168" s="29">
        <v>66</v>
      </c>
      <c r="E168" s="29">
        <v>45</v>
      </c>
      <c r="F168" s="29">
        <v>21</v>
      </c>
      <c r="G168" s="29">
        <v>-5</v>
      </c>
      <c r="H168" s="29">
        <v>-23</v>
      </c>
      <c r="I168" s="29">
        <v>-30</v>
      </c>
      <c r="J168" s="29">
        <v>-4</v>
      </c>
      <c r="K168" s="29">
        <v>25</v>
      </c>
      <c r="L168" s="29">
        <v>64</v>
      </c>
      <c r="M168" s="29">
        <v>86</v>
      </c>
      <c r="N168" s="29">
        <v>108</v>
      </c>
      <c r="O168" s="29">
        <v>104</v>
      </c>
      <c r="P168" s="29">
        <v>78</v>
      </c>
      <c r="Q168" s="29">
        <v>38</v>
      </c>
      <c r="R168" s="29">
        <v>-4</v>
      </c>
      <c r="S168" s="29">
        <v>-41</v>
      </c>
      <c r="T168" s="29">
        <v>-80</v>
      </c>
      <c r="U168" s="29">
        <v>-111</v>
      </c>
      <c r="V168" s="29">
        <v>-126</v>
      </c>
      <c r="W168" s="29">
        <v>-114</v>
      </c>
      <c r="X168" s="29">
        <v>-70</v>
      </c>
      <c r="Y168" s="30">
        <v>-18</v>
      </c>
      <c r="Z168" s="24">
        <v>107</v>
      </c>
      <c r="AA168" s="24">
        <v>4</v>
      </c>
      <c r="AB168" s="2">
        <f t="shared" si="7"/>
        <v>108</v>
      </c>
    </row>
    <row r="169" spans="1:28" ht="15" customHeight="1" x14ac:dyDescent="0.25">
      <c r="A169" s="26">
        <v>45816</v>
      </c>
      <c r="B169" s="28">
        <v>26</v>
      </c>
      <c r="C169" s="29">
        <v>61</v>
      </c>
      <c r="D169" s="29">
        <v>76</v>
      </c>
      <c r="E169" s="29">
        <v>77</v>
      </c>
      <c r="F169" s="29">
        <v>73</v>
      </c>
      <c r="G169" s="29">
        <v>37</v>
      </c>
      <c r="H169" s="29">
        <v>9</v>
      </c>
      <c r="I169" s="29">
        <v>-9</v>
      </c>
      <c r="J169" s="29">
        <v>-9</v>
      </c>
      <c r="K169" s="29">
        <v>9</v>
      </c>
      <c r="L169" s="29">
        <v>36</v>
      </c>
      <c r="M169" s="29">
        <v>64</v>
      </c>
      <c r="N169" s="29">
        <v>84</v>
      </c>
      <c r="O169" s="29">
        <v>85</v>
      </c>
      <c r="P169" s="29">
        <v>65</v>
      </c>
      <c r="Q169" s="29">
        <v>40</v>
      </c>
      <c r="R169" s="29">
        <v>1</v>
      </c>
      <c r="S169" s="29">
        <v>-39</v>
      </c>
      <c r="T169" s="29">
        <v>-81</v>
      </c>
      <c r="U169" s="29">
        <v>-113</v>
      </c>
      <c r="V169" s="29">
        <v>-136</v>
      </c>
      <c r="W169" s="29">
        <v>-138</v>
      </c>
      <c r="X169" s="29">
        <v>-110</v>
      </c>
      <c r="Y169" s="30">
        <v>-55</v>
      </c>
      <c r="Z169" s="24">
        <v>53</v>
      </c>
      <c r="AA169" s="24">
        <v>2</v>
      </c>
      <c r="AB169" s="2">
        <f t="shared" si="7"/>
        <v>85</v>
      </c>
    </row>
    <row r="170" spans="1:28" ht="15" customHeight="1" x14ac:dyDescent="0.25">
      <c r="A170" s="26">
        <v>45817</v>
      </c>
      <c r="B170" s="28">
        <v>2</v>
      </c>
      <c r="C170" s="29">
        <v>47</v>
      </c>
      <c r="D170" s="29">
        <v>79</v>
      </c>
      <c r="E170" s="29">
        <v>92</v>
      </c>
      <c r="F170" s="29">
        <v>89</v>
      </c>
      <c r="G170" s="29">
        <v>69</v>
      </c>
      <c r="H170" s="29">
        <v>49</v>
      </c>
      <c r="I170" s="29">
        <v>21</v>
      </c>
      <c r="J170" s="29">
        <v>5</v>
      </c>
      <c r="K170" s="29">
        <v>14</v>
      </c>
      <c r="L170" s="29">
        <v>41</v>
      </c>
      <c r="M170" s="29">
        <v>65</v>
      </c>
      <c r="N170" s="29">
        <v>89</v>
      </c>
      <c r="O170" s="29">
        <v>100</v>
      </c>
      <c r="P170" s="29">
        <v>93</v>
      </c>
      <c r="Q170" s="29">
        <v>63</v>
      </c>
      <c r="R170" s="29">
        <v>21</v>
      </c>
      <c r="S170" s="29">
        <v>-24</v>
      </c>
      <c r="T170" s="29">
        <v>-69</v>
      </c>
      <c r="U170" s="29">
        <v>-104</v>
      </c>
      <c r="V170" s="29">
        <v>-132</v>
      </c>
      <c r="W170" s="29">
        <v>-150</v>
      </c>
      <c r="X170" s="29">
        <v>-146</v>
      </c>
      <c r="Y170" s="30">
        <v>-117</v>
      </c>
      <c r="Z170" s="24">
        <v>197</v>
      </c>
      <c r="AA170" s="24">
        <v>8</v>
      </c>
      <c r="AB170" s="2">
        <f t="shared" si="7"/>
        <v>100</v>
      </c>
    </row>
    <row r="171" spans="1:28" ht="15" customHeight="1" x14ac:dyDescent="0.25">
      <c r="A171" s="26">
        <v>45818</v>
      </c>
      <c r="B171" s="28">
        <v>-79</v>
      </c>
      <c r="C171" s="29">
        <v>-15</v>
      </c>
      <c r="D171" s="29">
        <v>50</v>
      </c>
      <c r="E171" s="29">
        <v>94</v>
      </c>
      <c r="F171" s="29">
        <v>106</v>
      </c>
      <c r="G171" s="29">
        <v>89</v>
      </c>
      <c r="H171" s="29">
        <v>66</v>
      </c>
      <c r="I171" s="29">
        <v>37</v>
      </c>
      <c r="J171" s="29">
        <v>23</v>
      </c>
      <c r="K171" s="29">
        <v>20</v>
      </c>
      <c r="L171" s="29">
        <v>32</v>
      </c>
      <c r="M171" s="29">
        <v>54</v>
      </c>
      <c r="N171" s="29">
        <v>76</v>
      </c>
      <c r="O171" s="29">
        <v>89</v>
      </c>
      <c r="P171" s="29">
        <v>92</v>
      </c>
      <c r="Q171" s="29">
        <v>74</v>
      </c>
      <c r="R171" s="29">
        <v>42</v>
      </c>
      <c r="S171" s="29">
        <v>-6</v>
      </c>
      <c r="T171" s="29">
        <v>-51</v>
      </c>
      <c r="U171" s="29">
        <v>-94</v>
      </c>
      <c r="V171" s="29">
        <v>-123</v>
      </c>
      <c r="W171" s="29">
        <v>-145</v>
      </c>
      <c r="X171" s="29">
        <v>-156</v>
      </c>
      <c r="Y171" s="30">
        <v>-146</v>
      </c>
      <c r="Z171" s="24">
        <v>129</v>
      </c>
      <c r="AA171" s="24">
        <v>5</v>
      </c>
      <c r="AB171" s="2">
        <f t="shared" si="7"/>
        <v>106</v>
      </c>
    </row>
    <row r="172" spans="1:28" ht="15" customHeight="1" x14ac:dyDescent="0.25">
      <c r="A172" s="26">
        <v>45819</v>
      </c>
      <c r="B172" s="28">
        <v>-81</v>
      </c>
      <c r="C172" s="29">
        <v>-14</v>
      </c>
      <c r="D172" s="29">
        <v>37</v>
      </c>
      <c r="E172" s="29">
        <v>74</v>
      </c>
      <c r="F172" s="29">
        <v>102</v>
      </c>
      <c r="G172" s="29">
        <v>105</v>
      </c>
      <c r="H172" s="29">
        <v>87</v>
      </c>
      <c r="I172" s="29">
        <v>56</v>
      </c>
      <c r="J172" s="29">
        <v>30</v>
      </c>
      <c r="K172" s="29">
        <v>19</v>
      </c>
      <c r="L172" s="29">
        <v>22</v>
      </c>
      <c r="M172" s="29">
        <v>41</v>
      </c>
      <c r="N172" s="29">
        <v>60</v>
      </c>
      <c r="O172" s="29">
        <v>83</v>
      </c>
      <c r="P172" s="29">
        <v>90</v>
      </c>
      <c r="Q172" s="29">
        <v>81</v>
      </c>
      <c r="R172" s="29">
        <v>49</v>
      </c>
      <c r="S172" s="29">
        <v>12</v>
      </c>
      <c r="T172" s="29">
        <v>-38</v>
      </c>
      <c r="U172" s="29">
        <v>-83</v>
      </c>
      <c r="V172" s="29">
        <v>-115</v>
      </c>
      <c r="W172" s="29">
        <v>-140</v>
      </c>
      <c r="X172" s="29">
        <v>-159</v>
      </c>
      <c r="Y172" s="30">
        <v>-166</v>
      </c>
      <c r="Z172" s="24">
        <v>152</v>
      </c>
      <c r="AA172" s="24">
        <v>6</v>
      </c>
      <c r="AB172" s="2">
        <f t="shared" si="7"/>
        <v>105</v>
      </c>
    </row>
    <row r="173" spans="1:28" ht="15" customHeight="1" x14ac:dyDescent="0.25">
      <c r="A173" s="26">
        <v>45820</v>
      </c>
      <c r="B173" s="28">
        <v>-129</v>
      </c>
      <c r="C173" s="29">
        <v>-54</v>
      </c>
      <c r="D173" s="29">
        <v>13</v>
      </c>
      <c r="E173" s="29">
        <v>61</v>
      </c>
      <c r="F173" s="29">
        <v>91</v>
      </c>
      <c r="G173" s="29">
        <v>113</v>
      </c>
      <c r="H173" s="29">
        <v>114</v>
      </c>
      <c r="I173" s="29">
        <v>86</v>
      </c>
      <c r="J173" s="29">
        <v>60</v>
      </c>
      <c r="K173" s="29">
        <v>38</v>
      </c>
      <c r="L173" s="29">
        <v>27</v>
      </c>
      <c r="M173" s="29">
        <v>39</v>
      </c>
      <c r="N173" s="29">
        <v>59</v>
      </c>
      <c r="O173" s="29">
        <v>79</v>
      </c>
      <c r="P173" s="29">
        <v>95</v>
      </c>
      <c r="Q173" s="29">
        <v>95</v>
      </c>
      <c r="R173" s="29">
        <v>70</v>
      </c>
      <c r="S173" s="29">
        <v>34</v>
      </c>
      <c r="T173" s="29">
        <v>-11</v>
      </c>
      <c r="U173" s="29">
        <v>-56</v>
      </c>
      <c r="V173" s="29">
        <v>-98</v>
      </c>
      <c r="W173" s="29">
        <v>-118</v>
      </c>
      <c r="X173" s="29">
        <v>-152</v>
      </c>
      <c r="Y173" s="30">
        <v>-167</v>
      </c>
      <c r="Z173" s="24">
        <v>289</v>
      </c>
      <c r="AA173" s="24">
        <v>12</v>
      </c>
      <c r="AB173" s="2">
        <f t="shared" si="7"/>
        <v>114</v>
      </c>
    </row>
    <row r="174" spans="1:28" ht="15" customHeight="1" x14ac:dyDescent="0.25">
      <c r="A174" s="26">
        <v>45821</v>
      </c>
      <c r="B174" s="28">
        <v>-158</v>
      </c>
      <c r="C174" s="29">
        <v>-96</v>
      </c>
      <c r="D174" s="29">
        <v>-28</v>
      </c>
      <c r="E174" s="29">
        <v>29</v>
      </c>
      <c r="F174" s="29">
        <v>71</v>
      </c>
      <c r="G174" s="29">
        <v>98</v>
      </c>
      <c r="H174" s="29">
        <v>114</v>
      </c>
      <c r="I174" s="29">
        <v>102</v>
      </c>
      <c r="J174" s="29">
        <v>75</v>
      </c>
      <c r="K174" s="29">
        <v>57</v>
      </c>
      <c r="L174" s="29">
        <v>37</v>
      </c>
      <c r="M174" s="29">
        <v>41</v>
      </c>
      <c r="N174" s="29">
        <v>59</v>
      </c>
      <c r="O174" s="29">
        <v>80</v>
      </c>
      <c r="P174" s="29">
        <v>103</v>
      </c>
      <c r="Q174" s="29">
        <v>114</v>
      </c>
      <c r="R174" s="29">
        <v>103</v>
      </c>
      <c r="S174" s="29">
        <v>76</v>
      </c>
      <c r="T174" s="29">
        <v>37</v>
      </c>
      <c r="U174" s="29">
        <v>-15</v>
      </c>
      <c r="V174" s="29">
        <v>-61</v>
      </c>
      <c r="W174" s="29">
        <v>-98</v>
      </c>
      <c r="X174" s="29">
        <v>-126</v>
      </c>
      <c r="Y174" s="30">
        <v>-148</v>
      </c>
      <c r="Z174" s="24">
        <v>466</v>
      </c>
      <c r="AA174" s="24">
        <v>19</v>
      </c>
      <c r="AB174" s="2">
        <f t="shared" si="7"/>
        <v>114</v>
      </c>
    </row>
    <row r="175" spans="1:28" ht="15" customHeight="1" x14ac:dyDescent="0.25">
      <c r="A175" s="26">
        <v>45822</v>
      </c>
      <c r="B175" s="28">
        <v>-162</v>
      </c>
      <c r="C175" s="29">
        <v>-145</v>
      </c>
      <c r="D175" s="29">
        <v>-63</v>
      </c>
      <c r="E175" s="29">
        <v>10</v>
      </c>
      <c r="F175" s="29">
        <v>56</v>
      </c>
      <c r="G175" s="29">
        <v>90</v>
      </c>
      <c r="H175" s="29">
        <v>118</v>
      </c>
      <c r="I175" s="29">
        <v>118</v>
      </c>
      <c r="J175" s="29">
        <v>100</v>
      </c>
      <c r="K175" s="29">
        <v>70</v>
      </c>
      <c r="L175" s="29">
        <v>48</v>
      </c>
      <c r="M175" s="29">
        <v>36</v>
      </c>
      <c r="N175" s="29">
        <v>46</v>
      </c>
      <c r="O175" s="29">
        <v>63</v>
      </c>
      <c r="P175" s="29">
        <v>85</v>
      </c>
      <c r="Q175" s="29">
        <v>114</v>
      </c>
      <c r="R175" s="29">
        <v>121</v>
      </c>
      <c r="S175" s="29">
        <v>102</v>
      </c>
      <c r="T175" s="29">
        <v>69</v>
      </c>
      <c r="U175" s="29">
        <v>23</v>
      </c>
      <c r="V175" s="29">
        <v>-23</v>
      </c>
      <c r="W175" s="29">
        <v>-66</v>
      </c>
      <c r="X175" s="29">
        <v>-99</v>
      </c>
      <c r="Y175" s="30">
        <v>-126</v>
      </c>
      <c r="Z175" s="24">
        <v>585</v>
      </c>
      <c r="AA175" s="24">
        <v>24</v>
      </c>
      <c r="AB175" s="2">
        <f t="shared" si="7"/>
        <v>121</v>
      </c>
    </row>
    <row r="176" spans="1:28" ht="15" customHeight="1" x14ac:dyDescent="0.25">
      <c r="A176" s="26">
        <v>45823</v>
      </c>
      <c r="B176" s="28">
        <v>-145</v>
      </c>
      <c r="C176" s="29">
        <v>-151</v>
      </c>
      <c r="D176" s="29">
        <v>-109</v>
      </c>
      <c r="E176" s="29">
        <v>-20</v>
      </c>
      <c r="F176" s="29">
        <v>36</v>
      </c>
      <c r="G176" s="29">
        <v>77</v>
      </c>
      <c r="H176" s="29">
        <v>107</v>
      </c>
      <c r="I176" s="29">
        <v>120</v>
      </c>
      <c r="J176" s="29">
        <v>116</v>
      </c>
      <c r="K176" s="29">
        <v>91</v>
      </c>
      <c r="L176" s="29">
        <v>64</v>
      </c>
      <c r="M176" s="29">
        <v>47</v>
      </c>
      <c r="N176" s="29">
        <v>44</v>
      </c>
      <c r="O176" s="29">
        <v>56</v>
      </c>
      <c r="P176" s="29">
        <v>78</v>
      </c>
      <c r="Q176" s="29">
        <v>103</v>
      </c>
      <c r="R176" s="29">
        <v>114</v>
      </c>
      <c r="S176" s="29">
        <v>108</v>
      </c>
      <c r="T176" s="29">
        <v>82</v>
      </c>
      <c r="U176" s="29">
        <v>48</v>
      </c>
      <c r="V176" s="29">
        <v>6</v>
      </c>
      <c r="W176" s="29">
        <v>-39</v>
      </c>
      <c r="X176" s="29">
        <v>-77</v>
      </c>
      <c r="Y176" s="30">
        <v>-108</v>
      </c>
      <c r="Z176" s="24">
        <v>648</v>
      </c>
      <c r="AA176" s="24">
        <v>27</v>
      </c>
      <c r="AB176" s="2">
        <f t="shared" si="7"/>
        <v>120</v>
      </c>
    </row>
    <row r="177" spans="1:28" ht="15" customHeight="1" x14ac:dyDescent="0.25">
      <c r="A177" s="26">
        <v>45824</v>
      </c>
      <c r="B177" s="28">
        <v>-129</v>
      </c>
      <c r="C177" s="29">
        <v>-143</v>
      </c>
      <c r="D177" s="29">
        <v>-139</v>
      </c>
      <c r="E177" s="29">
        <v>-70</v>
      </c>
      <c r="F177" s="29">
        <v>-7</v>
      </c>
      <c r="G177" s="29">
        <v>43</v>
      </c>
      <c r="H177" s="29">
        <v>81</v>
      </c>
      <c r="I177" s="29">
        <v>112</v>
      </c>
      <c r="J177" s="29">
        <v>119</v>
      </c>
      <c r="K177" s="29">
        <v>105</v>
      </c>
      <c r="L177" s="29">
        <v>80</v>
      </c>
      <c r="M177" s="29">
        <v>58</v>
      </c>
      <c r="N177" s="29">
        <v>40</v>
      </c>
      <c r="O177" s="29">
        <v>34</v>
      </c>
      <c r="P177" s="29">
        <v>51</v>
      </c>
      <c r="Q177" s="29">
        <v>76</v>
      </c>
      <c r="R177" s="29">
        <v>94</v>
      </c>
      <c r="S177" s="29">
        <v>100</v>
      </c>
      <c r="T177" s="29">
        <v>94</v>
      </c>
      <c r="U177" s="29">
        <v>72</v>
      </c>
      <c r="V177" s="29">
        <v>36</v>
      </c>
      <c r="W177" s="29">
        <v>-5</v>
      </c>
      <c r="X177" s="29">
        <v>-47</v>
      </c>
      <c r="Y177" s="30">
        <v>-84</v>
      </c>
      <c r="Z177" s="24">
        <v>571</v>
      </c>
      <c r="AA177" s="24">
        <v>24</v>
      </c>
      <c r="AB177" s="2">
        <f t="shared" si="7"/>
        <v>119</v>
      </c>
    </row>
    <row r="178" spans="1:28" ht="15" customHeight="1" x14ac:dyDescent="0.25">
      <c r="A178" s="26">
        <v>45825</v>
      </c>
      <c r="B178" s="28">
        <v>-111</v>
      </c>
      <c r="C178" s="29">
        <v>-130</v>
      </c>
      <c r="D178" s="29">
        <v>-136</v>
      </c>
      <c r="E178" s="29">
        <v>-114</v>
      </c>
      <c r="F178" s="29">
        <v>-48</v>
      </c>
      <c r="G178" s="29">
        <v>10</v>
      </c>
      <c r="H178" s="29">
        <v>56</v>
      </c>
      <c r="I178" s="29">
        <v>95</v>
      </c>
      <c r="J178" s="29">
        <v>118</v>
      </c>
      <c r="K178" s="29">
        <v>116</v>
      </c>
      <c r="L178" s="29">
        <v>97</v>
      </c>
      <c r="M178" s="29">
        <v>73</v>
      </c>
      <c r="N178" s="29">
        <v>50</v>
      </c>
      <c r="O178" s="29">
        <v>36</v>
      </c>
      <c r="P178" s="29">
        <v>37</v>
      </c>
      <c r="Q178" s="29">
        <v>52</v>
      </c>
      <c r="R178" s="29">
        <v>73</v>
      </c>
      <c r="S178" s="29">
        <v>84</v>
      </c>
      <c r="T178" s="29">
        <v>96</v>
      </c>
      <c r="U178" s="29">
        <v>78</v>
      </c>
      <c r="V178" s="29">
        <v>61</v>
      </c>
      <c r="W178" s="29">
        <v>24</v>
      </c>
      <c r="X178" s="29">
        <v>-14</v>
      </c>
      <c r="Y178" s="30">
        <v>-54</v>
      </c>
      <c r="Z178" s="24">
        <v>549</v>
      </c>
      <c r="AA178" s="24">
        <v>23</v>
      </c>
      <c r="AB178" s="2">
        <f t="shared" si="7"/>
        <v>118</v>
      </c>
    </row>
    <row r="179" spans="1:28" ht="15" customHeight="1" x14ac:dyDescent="0.25">
      <c r="A179" s="26">
        <v>45826</v>
      </c>
      <c r="B179" s="28">
        <v>-88</v>
      </c>
      <c r="C179" s="29">
        <v>-111</v>
      </c>
      <c r="D179" s="29">
        <v>-126</v>
      </c>
      <c r="E179" s="29">
        <v>-122</v>
      </c>
      <c r="F179" s="29">
        <v>-77</v>
      </c>
      <c r="G179" s="29">
        <v>-12</v>
      </c>
      <c r="H179" s="29">
        <v>37</v>
      </c>
      <c r="I179" s="29">
        <v>77</v>
      </c>
      <c r="J179" s="29">
        <v>113</v>
      </c>
      <c r="K179" s="29">
        <v>127</v>
      </c>
      <c r="L179" s="29">
        <v>115</v>
      </c>
      <c r="M179" s="29">
        <v>93</v>
      </c>
      <c r="N179" s="29">
        <v>65</v>
      </c>
      <c r="O179" s="29">
        <v>35</v>
      </c>
      <c r="P179" s="29">
        <v>7</v>
      </c>
      <c r="Q179" s="29">
        <v>0</v>
      </c>
      <c r="R179" s="29">
        <v>15</v>
      </c>
      <c r="S179" s="29">
        <v>41</v>
      </c>
      <c r="T179" s="29">
        <v>64</v>
      </c>
      <c r="U179" s="29">
        <v>76</v>
      </c>
      <c r="V179" s="29">
        <v>79</v>
      </c>
      <c r="W179" s="29">
        <v>55</v>
      </c>
      <c r="X179" s="29">
        <v>26</v>
      </c>
      <c r="Y179" s="30">
        <v>-10</v>
      </c>
      <c r="Z179" s="24">
        <v>479</v>
      </c>
      <c r="AA179" s="24">
        <v>20</v>
      </c>
      <c r="AB179" s="2">
        <f t="shared" si="7"/>
        <v>127</v>
      </c>
    </row>
    <row r="180" spans="1:28" ht="15" customHeight="1" x14ac:dyDescent="0.25">
      <c r="A180" s="26">
        <v>45827</v>
      </c>
      <c r="B180" s="28">
        <v>-48</v>
      </c>
      <c r="C180" s="29">
        <v>-77</v>
      </c>
      <c r="D180" s="29">
        <v>-101</v>
      </c>
      <c r="E180" s="29">
        <v>-112</v>
      </c>
      <c r="F180" s="29">
        <v>-97</v>
      </c>
      <c r="G180" s="29">
        <v>-40</v>
      </c>
      <c r="H180" s="29">
        <v>10</v>
      </c>
      <c r="I180" s="29">
        <v>53</v>
      </c>
      <c r="J180" s="29">
        <v>83</v>
      </c>
      <c r="K180" s="29">
        <v>111</v>
      </c>
      <c r="L180" s="29">
        <v>119</v>
      </c>
      <c r="M180" s="29">
        <v>92</v>
      </c>
      <c r="N180" s="29">
        <v>72</v>
      </c>
      <c r="O180" s="29">
        <v>39</v>
      </c>
      <c r="P180" s="29">
        <v>10</v>
      </c>
      <c r="Q180" s="29">
        <v>-13</v>
      </c>
      <c r="R180" s="29">
        <v>-22</v>
      </c>
      <c r="S180" s="29">
        <v>-14</v>
      </c>
      <c r="T180" s="29">
        <v>8</v>
      </c>
      <c r="U180" s="29">
        <v>26</v>
      </c>
      <c r="V180" s="29">
        <v>51</v>
      </c>
      <c r="W180" s="29">
        <v>61</v>
      </c>
      <c r="X180" s="29">
        <v>61</v>
      </c>
      <c r="Y180" s="30">
        <v>34</v>
      </c>
      <c r="Z180" s="24">
        <v>306</v>
      </c>
      <c r="AA180" s="24">
        <v>13</v>
      </c>
      <c r="AB180" s="2">
        <f t="shared" si="7"/>
        <v>119</v>
      </c>
    </row>
    <row r="181" spans="1:28" ht="15" customHeight="1" x14ac:dyDescent="0.25">
      <c r="A181" s="26">
        <v>45828</v>
      </c>
      <c r="B181" s="28">
        <v>1</v>
      </c>
      <c r="C181" s="29">
        <v>-33</v>
      </c>
      <c r="D181" s="29">
        <v>-62</v>
      </c>
      <c r="E181" s="29">
        <v>-84</v>
      </c>
      <c r="F181" s="29">
        <v>-89</v>
      </c>
      <c r="G181" s="29">
        <v>-73</v>
      </c>
      <c r="H181" s="29">
        <v>-26</v>
      </c>
      <c r="I181" s="29">
        <v>20</v>
      </c>
      <c r="J181" s="29">
        <v>68</v>
      </c>
      <c r="K181" s="29">
        <v>103</v>
      </c>
      <c r="L181" s="29">
        <v>127</v>
      </c>
      <c r="M181" s="29">
        <v>126</v>
      </c>
      <c r="N181" s="29">
        <v>100</v>
      </c>
      <c r="O181" s="29">
        <v>65</v>
      </c>
      <c r="P181" s="29">
        <v>31</v>
      </c>
      <c r="Q181" s="29">
        <v>-8</v>
      </c>
      <c r="R181" s="29">
        <v>-40</v>
      </c>
      <c r="S181" s="29">
        <v>-63</v>
      </c>
      <c r="T181" s="29">
        <v>-65</v>
      </c>
      <c r="U181" s="29">
        <v>-44</v>
      </c>
      <c r="V181" s="29">
        <v>-10</v>
      </c>
      <c r="W181" s="29">
        <v>20</v>
      </c>
      <c r="X181" s="29">
        <v>40</v>
      </c>
      <c r="Y181" s="30">
        <v>54</v>
      </c>
      <c r="Z181" s="24">
        <v>158</v>
      </c>
      <c r="AA181" s="24">
        <v>7</v>
      </c>
      <c r="AB181" s="2">
        <f t="shared" si="7"/>
        <v>127</v>
      </c>
    </row>
    <row r="182" spans="1:28" ht="15" customHeight="1" x14ac:dyDescent="0.25">
      <c r="A182" s="26">
        <v>45829</v>
      </c>
      <c r="B182" s="28">
        <v>53</v>
      </c>
      <c r="C182" s="29">
        <v>28</v>
      </c>
      <c r="D182" s="29">
        <v>-3</v>
      </c>
      <c r="E182" s="29">
        <v>-30</v>
      </c>
      <c r="F182" s="29">
        <v>-50</v>
      </c>
      <c r="G182" s="29">
        <v>-58</v>
      </c>
      <c r="H182" s="29">
        <v>-40</v>
      </c>
      <c r="I182" s="29">
        <v>-5</v>
      </c>
      <c r="J182" s="29">
        <v>41</v>
      </c>
      <c r="K182" s="29">
        <v>81</v>
      </c>
      <c r="L182" s="29">
        <v>117</v>
      </c>
      <c r="M182" s="29">
        <v>132</v>
      </c>
      <c r="N182" s="29">
        <v>119</v>
      </c>
      <c r="O182" s="29">
        <v>86</v>
      </c>
      <c r="P182" s="29">
        <v>41</v>
      </c>
      <c r="Q182" s="29">
        <v>-6</v>
      </c>
      <c r="R182" s="29">
        <v>-42</v>
      </c>
      <c r="S182" s="29">
        <v>-75</v>
      </c>
      <c r="T182" s="29">
        <v>-98</v>
      </c>
      <c r="U182" s="29">
        <v>-102</v>
      </c>
      <c r="V182" s="29">
        <v>-77</v>
      </c>
      <c r="W182" s="29">
        <v>-20</v>
      </c>
      <c r="X182" s="29">
        <v>17</v>
      </c>
      <c r="Y182" s="30">
        <v>50</v>
      </c>
      <c r="Z182" s="24">
        <v>159</v>
      </c>
      <c r="AA182" s="24">
        <v>7</v>
      </c>
      <c r="AB182" s="2">
        <f t="shared" si="7"/>
        <v>132</v>
      </c>
    </row>
    <row r="183" spans="1:28" ht="15" customHeight="1" x14ac:dyDescent="0.25">
      <c r="A183" s="26">
        <v>45830</v>
      </c>
      <c r="B183" s="28">
        <v>71</v>
      </c>
      <c r="C183" s="29">
        <v>71</v>
      </c>
      <c r="D183" s="29">
        <v>55</v>
      </c>
      <c r="E183" s="29">
        <v>31</v>
      </c>
      <c r="F183" s="29">
        <v>9</v>
      </c>
      <c r="G183" s="29">
        <v>-15</v>
      </c>
      <c r="H183" s="29">
        <v>-23</v>
      </c>
      <c r="I183" s="29">
        <v>-5</v>
      </c>
      <c r="J183" s="29">
        <v>29</v>
      </c>
      <c r="K183" s="29">
        <v>59</v>
      </c>
      <c r="L183" s="29">
        <v>90</v>
      </c>
      <c r="M183" s="29">
        <v>106</v>
      </c>
      <c r="N183" s="29">
        <v>115</v>
      </c>
      <c r="O183" s="29">
        <v>93</v>
      </c>
      <c r="P183" s="29">
        <v>48</v>
      </c>
      <c r="Q183" s="29">
        <v>-1</v>
      </c>
      <c r="R183" s="29">
        <v>-44</v>
      </c>
      <c r="S183" s="29">
        <v>-80</v>
      </c>
      <c r="T183" s="29">
        <v>-107</v>
      </c>
      <c r="U183" s="29">
        <v>-125</v>
      </c>
      <c r="V183" s="29">
        <v>-131</v>
      </c>
      <c r="W183" s="29">
        <v>-109</v>
      </c>
      <c r="X183" s="29">
        <v>-43</v>
      </c>
      <c r="Y183" s="30">
        <v>17</v>
      </c>
      <c r="Z183" s="24">
        <v>111</v>
      </c>
      <c r="AA183" s="24">
        <v>5</v>
      </c>
      <c r="AB183" s="2">
        <f t="shared" si="7"/>
        <v>115</v>
      </c>
    </row>
    <row r="184" spans="1:28" ht="15" customHeight="1" x14ac:dyDescent="0.25">
      <c r="A184" s="26">
        <v>45831</v>
      </c>
      <c r="B184" s="28">
        <v>56</v>
      </c>
      <c r="C184" s="29">
        <v>80</v>
      </c>
      <c r="D184" s="29">
        <v>96</v>
      </c>
      <c r="E184" s="29">
        <v>89</v>
      </c>
      <c r="F184" s="29">
        <v>64</v>
      </c>
      <c r="G184" s="29">
        <v>42</v>
      </c>
      <c r="H184" s="29">
        <v>19</v>
      </c>
      <c r="I184" s="29">
        <v>6</v>
      </c>
      <c r="J184" s="29">
        <v>16</v>
      </c>
      <c r="K184" s="29">
        <v>46</v>
      </c>
      <c r="L184" s="29">
        <v>77</v>
      </c>
      <c r="M184" s="29">
        <v>99</v>
      </c>
      <c r="N184" s="29">
        <v>116</v>
      </c>
      <c r="O184" s="29">
        <v>113</v>
      </c>
      <c r="P184" s="29">
        <v>80</v>
      </c>
      <c r="Q184" s="29">
        <v>35</v>
      </c>
      <c r="R184" s="29">
        <v>-15</v>
      </c>
      <c r="S184" s="29">
        <v>-54</v>
      </c>
      <c r="T184" s="29">
        <v>-91</v>
      </c>
      <c r="U184" s="29">
        <v>-120</v>
      </c>
      <c r="V184" s="29">
        <v>-140</v>
      </c>
      <c r="W184" s="29">
        <v>-149</v>
      </c>
      <c r="X184" s="29">
        <v>-115</v>
      </c>
      <c r="Y184" s="30">
        <v>-36</v>
      </c>
      <c r="Z184" s="24">
        <v>314</v>
      </c>
      <c r="AA184" s="24">
        <v>13</v>
      </c>
      <c r="AB184" s="2">
        <f t="shared" si="7"/>
        <v>116</v>
      </c>
    </row>
    <row r="185" spans="1:28" ht="15" customHeight="1" x14ac:dyDescent="0.25">
      <c r="A185" s="26">
        <v>45832</v>
      </c>
      <c r="B185" s="28">
        <v>27</v>
      </c>
      <c r="C185" s="29">
        <v>72</v>
      </c>
      <c r="D185" s="29">
        <v>103</v>
      </c>
      <c r="E185" s="29">
        <v>117</v>
      </c>
      <c r="F185" s="29">
        <v>111</v>
      </c>
      <c r="G185" s="29">
        <v>76</v>
      </c>
      <c r="H185" s="29">
        <v>49</v>
      </c>
      <c r="I185" s="29">
        <v>40</v>
      </c>
      <c r="J185" s="29">
        <v>29</v>
      </c>
      <c r="K185" s="29">
        <v>44</v>
      </c>
      <c r="L185" s="29">
        <v>61</v>
      </c>
      <c r="M185" s="29">
        <v>89</v>
      </c>
      <c r="N185" s="29">
        <v>113</v>
      </c>
      <c r="O185" s="29">
        <v>120</v>
      </c>
      <c r="P185" s="29">
        <v>110</v>
      </c>
      <c r="Q185" s="29">
        <v>70</v>
      </c>
      <c r="R185" s="29">
        <v>23</v>
      </c>
      <c r="S185" s="29">
        <v>-25</v>
      </c>
      <c r="T185" s="29">
        <v>-66</v>
      </c>
      <c r="U185" s="29">
        <v>-104</v>
      </c>
      <c r="V185" s="29">
        <v>-133</v>
      </c>
      <c r="W185" s="29">
        <v>-155</v>
      </c>
      <c r="X185" s="29">
        <v>-167</v>
      </c>
      <c r="Y185" s="30">
        <v>-132</v>
      </c>
      <c r="Z185" s="24">
        <v>472</v>
      </c>
      <c r="AA185" s="24">
        <v>20</v>
      </c>
      <c r="AB185" s="2">
        <f t="shared" si="7"/>
        <v>120</v>
      </c>
    </row>
    <row r="186" spans="1:28" ht="15" customHeight="1" x14ac:dyDescent="0.25">
      <c r="A186" s="26">
        <v>45833</v>
      </c>
      <c r="B186" s="28">
        <v>-45</v>
      </c>
      <c r="C186" s="29">
        <v>28</v>
      </c>
      <c r="D186" s="29">
        <v>75</v>
      </c>
      <c r="E186" s="29">
        <v>114</v>
      </c>
      <c r="F186" s="29">
        <v>130</v>
      </c>
      <c r="G186" s="29">
        <v>120</v>
      </c>
      <c r="H186" s="29">
        <v>97</v>
      </c>
      <c r="I186" s="29">
        <v>73</v>
      </c>
      <c r="J186" s="29">
        <v>54</v>
      </c>
      <c r="K186" s="29">
        <v>47</v>
      </c>
      <c r="L186" s="29">
        <v>58</v>
      </c>
      <c r="M186" s="29">
        <v>88</v>
      </c>
      <c r="N186" s="29">
        <v>113</v>
      </c>
      <c r="O186" s="29">
        <v>129</v>
      </c>
      <c r="P186" s="29">
        <v>123</v>
      </c>
      <c r="Q186" s="29">
        <v>99</v>
      </c>
      <c r="R186" s="29">
        <v>64</v>
      </c>
      <c r="S186" s="29">
        <v>11</v>
      </c>
      <c r="T186" s="29">
        <v>-35</v>
      </c>
      <c r="U186" s="29">
        <v>-78</v>
      </c>
      <c r="V186" s="29">
        <v>-113</v>
      </c>
      <c r="W186" s="29">
        <v>-141</v>
      </c>
      <c r="X186" s="29">
        <v>-161</v>
      </c>
      <c r="Y186" s="30">
        <v>-168</v>
      </c>
      <c r="Z186" s="24">
        <v>682</v>
      </c>
      <c r="AA186" s="24">
        <v>28</v>
      </c>
      <c r="AB186" s="2">
        <f t="shared" si="7"/>
        <v>130</v>
      </c>
    </row>
    <row r="187" spans="1:28" ht="15" customHeight="1" x14ac:dyDescent="0.25">
      <c r="A187" s="26">
        <v>45834</v>
      </c>
      <c r="B187" s="28">
        <v>-151</v>
      </c>
      <c r="C187" s="29">
        <v>-40</v>
      </c>
      <c r="D187" s="29">
        <v>44</v>
      </c>
      <c r="E187" s="29">
        <v>90</v>
      </c>
      <c r="F187" s="29">
        <v>126</v>
      </c>
      <c r="G187" s="29">
        <v>134</v>
      </c>
      <c r="H187" s="29">
        <v>122</v>
      </c>
      <c r="I187" s="29">
        <v>106</v>
      </c>
      <c r="J187" s="29">
        <v>77</v>
      </c>
      <c r="K187" s="29">
        <v>56</v>
      </c>
      <c r="L187" s="29">
        <v>54</v>
      </c>
      <c r="M187" s="29">
        <v>70</v>
      </c>
      <c r="N187" s="29">
        <v>104</v>
      </c>
      <c r="O187" s="29">
        <v>128</v>
      </c>
      <c r="P187" s="29">
        <v>135</v>
      </c>
      <c r="Q187" s="29">
        <v>130</v>
      </c>
      <c r="R187" s="29">
        <v>104</v>
      </c>
      <c r="S187" s="29">
        <v>60</v>
      </c>
      <c r="T187" s="29">
        <v>6</v>
      </c>
      <c r="U187" s="29">
        <v>-41</v>
      </c>
      <c r="V187" s="29">
        <v>-82</v>
      </c>
      <c r="W187" s="29">
        <v>-116</v>
      </c>
      <c r="X187" s="29">
        <v>-143</v>
      </c>
      <c r="Y187" s="30">
        <v>-163</v>
      </c>
      <c r="Z187" s="24">
        <v>810</v>
      </c>
      <c r="AA187" s="24">
        <v>34</v>
      </c>
      <c r="AB187" s="2">
        <f t="shared" si="7"/>
        <v>135</v>
      </c>
    </row>
    <row r="188" spans="1:28" ht="15" customHeight="1" x14ac:dyDescent="0.25">
      <c r="A188" s="26">
        <v>45835</v>
      </c>
      <c r="B188" s="28">
        <v>-166</v>
      </c>
      <c r="C188" s="29">
        <v>-100</v>
      </c>
      <c r="D188" s="29">
        <v>-6</v>
      </c>
      <c r="E188" s="29">
        <v>60</v>
      </c>
      <c r="F188" s="29">
        <v>100</v>
      </c>
      <c r="G188" s="29">
        <v>132</v>
      </c>
      <c r="H188" s="29">
        <v>138</v>
      </c>
      <c r="I188" s="29">
        <v>124</v>
      </c>
      <c r="J188" s="29">
        <v>93</v>
      </c>
      <c r="K188" s="29">
        <v>67</v>
      </c>
      <c r="L188" s="29">
        <v>47</v>
      </c>
      <c r="M188" s="29">
        <v>55</v>
      </c>
      <c r="N188" s="29">
        <v>74</v>
      </c>
      <c r="O188" s="29">
        <v>108</v>
      </c>
      <c r="P188" s="29">
        <v>134</v>
      </c>
      <c r="Q188" s="29">
        <v>142</v>
      </c>
      <c r="R188" s="29">
        <v>133</v>
      </c>
      <c r="S188" s="29">
        <v>105</v>
      </c>
      <c r="T188" s="29">
        <v>55</v>
      </c>
      <c r="U188" s="29">
        <v>-3</v>
      </c>
      <c r="V188" s="29">
        <v>-48</v>
      </c>
      <c r="W188" s="29">
        <v>-87</v>
      </c>
      <c r="X188" s="29">
        <v>-118</v>
      </c>
      <c r="Y188" s="30">
        <v>-141</v>
      </c>
      <c r="Z188" s="24">
        <v>898</v>
      </c>
      <c r="AA188" s="24">
        <v>37</v>
      </c>
      <c r="AB188" s="2">
        <f t="shared" si="7"/>
        <v>142</v>
      </c>
    </row>
    <row r="189" spans="1:28" ht="15" customHeight="1" x14ac:dyDescent="0.25">
      <c r="A189" s="26">
        <v>45836</v>
      </c>
      <c r="B189" s="28">
        <v>-158</v>
      </c>
      <c r="C189" s="29">
        <v>-153</v>
      </c>
      <c r="D189" s="29">
        <v>-66</v>
      </c>
      <c r="E189" s="29">
        <v>10</v>
      </c>
      <c r="F189" s="29">
        <v>65</v>
      </c>
      <c r="G189" s="29">
        <v>106</v>
      </c>
      <c r="H189" s="29">
        <v>134</v>
      </c>
      <c r="I189" s="29">
        <v>134</v>
      </c>
      <c r="J189" s="29">
        <v>111</v>
      </c>
      <c r="K189" s="29">
        <v>84</v>
      </c>
      <c r="L189" s="29">
        <v>60</v>
      </c>
      <c r="M189" s="29">
        <v>44</v>
      </c>
      <c r="N189" s="29">
        <v>49</v>
      </c>
      <c r="O189" s="29">
        <v>77</v>
      </c>
      <c r="P189" s="29">
        <v>98</v>
      </c>
      <c r="Q189" s="29">
        <v>119</v>
      </c>
      <c r="R189" s="29">
        <v>125</v>
      </c>
      <c r="S189" s="29">
        <v>120</v>
      </c>
      <c r="T189" s="29">
        <v>88</v>
      </c>
      <c r="U189" s="29">
        <v>35</v>
      </c>
      <c r="V189" s="29">
        <v>-14</v>
      </c>
      <c r="W189" s="29">
        <v>-59</v>
      </c>
      <c r="X189" s="29">
        <v>-96</v>
      </c>
      <c r="Y189" s="30">
        <v>-124</v>
      </c>
      <c r="Z189" s="24">
        <v>789</v>
      </c>
      <c r="AA189" s="24">
        <v>33</v>
      </c>
      <c r="AB189" s="2">
        <f t="shared" si="7"/>
        <v>134</v>
      </c>
    </row>
    <row r="190" spans="1:28" ht="15" customHeight="1" x14ac:dyDescent="0.25">
      <c r="A190" s="26">
        <v>45837</v>
      </c>
      <c r="B190" s="28">
        <v>-144</v>
      </c>
      <c r="C190" s="29">
        <v>-155</v>
      </c>
      <c r="D190" s="29">
        <v>-118</v>
      </c>
      <c r="E190" s="29">
        <v>-26</v>
      </c>
      <c r="F190" s="29">
        <v>33</v>
      </c>
      <c r="G190" s="29">
        <v>85</v>
      </c>
      <c r="H190" s="29">
        <v>117</v>
      </c>
      <c r="I190" s="29">
        <v>134</v>
      </c>
      <c r="J190" s="29">
        <v>126</v>
      </c>
      <c r="K190" s="29">
        <v>94</v>
      </c>
      <c r="L190" s="29">
        <v>68</v>
      </c>
      <c r="M190" s="29">
        <v>45</v>
      </c>
      <c r="N190" s="29">
        <v>35</v>
      </c>
      <c r="O190" s="29">
        <v>36</v>
      </c>
      <c r="P190" s="29">
        <v>68</v>
      </c>
      <c r="Q190" s="29">
        <v>93</v>
      </c>
      <c r="R190" s="29">
        <v>112</v>
      </c>
      <c r="S190" s="29">
        <v>116</v>
      </c>
      <c r="T190" s="29">
        <v>105</v>
      </c>
      <c r="U190" s="29">
        <v>68</v>
      </c>
      <c r="V190" s="29">
        <v>23</v>
      </c>
      <c r="W190" s="29">
        <v>-23</v>
      </c>
      <c r="X190" s="29">
        <v>-65</v>
      </c>
      <c r="Y190" s="30">
        <v>-97</v>
      </c>
      <c r="Z190" s="24">
        <v>730</v>
      </c>
      <c r="AA190" s="24">
        <v>30</v>
      </c>
      <c r="AB190" s="2">
        <f t="shared" si="7"/>
        <v>134</v>
      </c>
    </row>
    <row r="191" spans="1:28" ht="15" customHeight="1" x14ac:dyDescent="0.25">
      <c r="A191" s="26">
        <v>45838</v>
      </c>
      <c r="B191" s="28">
        <v>-123</v>
      </c>
      <c r="C191" s="29">
        <v>-139</v>
      </c>
      <c r="D191" s="29">
        <v>-137</v>
      </c>
      <c r="E191" s="29">
        <v>-74</v>
      </c>
      <c r="F191" s="29">
        <v>-2</v>
      </c>
      <c r="G191" s="29">
        <v>53</v>
      </c>
      <c r="H191" s="29">
        <v>92</v>
      </c>
      <c r="I191" s="29">
        <v>122</v>
      </c>
      <c r="J191" s="29">
        <v>126</v>
      </c>
      <c r="K191" s="29">
        <v>110</v>
      </c>
      <c r="L191" s="29">
        <v>78</v>
      </c>
      <c r="M191" s="29">
        <v>53</v>
      </c>
      <c r="N191" s="29">
        <v>29</v>
      </c>
      <c r="O191" s="29">
        <v>20</v>
      </c>
      <c r="P191" s="29">
        <v>30</v>
      </c>
      <c r="Q191" s="29">
        <v>55</v>
      </c>
      <c r="R191" s="29">
        <v>79</v>
      </c>
      <c r="S191" s="29">
        <v>98</v>
      </c>
      <c r="T191" s="29">
        <v>104</v>
      </c>
      <c r="U191" s="29">
        <v>95</v>
      </c>
      <c r="V191" s="29">
        <v>62</v>
      </c>
      <c r="W191" s="29">
        <v>19</v>
      </c>
      <c r="X191" s="29">
        <v>-26</v>
      </c>
      <c r="Y191" s="30">
        <v>-65</v>
      </c>
      <c r="Z191" s="24">
        <v>659</v>
      </c>
      <c r="AA191" s="24">
        <v>27</v>
      </c>
      <c r="AB191" s="2">
        <f t="shared" si="7"/>
        <v>126</v>
      </c>
    </row>
    <row r="192" spans="1:28" ht="15" customHeight="1" x14ac:dyDescent="0.25">
      <c r="A192" s="40"/>
      <c r="B192" s="44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6"/>
      <c r="Z192" s="37"/>
      <c r="AA192" s="37"/>
      <c r="AB192" s="2">
        <f t="shared" si="7"/>
        <v>0</v>
      </c>
    </row>
    <row r="193" spans="1:28" ht="15" customHeight="1" x14ac:dyDescent="0.25">
      <c r="A193" s="26">
        <v>45839</v>
      </c>
      <c r="B193" s="41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3"/>
      <c r="Z193" s="27">
        <f t="shared" ref="Z193:Z256" si="8">SUM(B193:Y193)</f>
        <v>0</v>
      </c>
      <c r="AA193" s="27" t="e">
        <f t="shared" ref="AA193:AA256" si="9">AVERAGE(B193:Y193)</f>
        <v>#DIV/0!</v>
      </c>
      <c r="AB193" s="2">
        <f t="shared" si="7"/>
        <v>0</v>
      </c>
    </row>
    <row r="194" spans="1:28" ht="15" customHeight="1" x14ac:dyDescent="0.25">
      <c r="A194" s="26">
        <v>45840</v>
      </c>
      <c r="B194" s="28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30"/>
      <c r="Z194" s="24">
        <f t="shared" si="8"/>
        <v>0</v>
      </c>
      <c r="AA194" s="24" t="e">
        <f t="shared" si="9"/>
        <v>#DIV/0!</v>
      </c>
      <c r="AB194" s="2">
        <f t="shared" si="7"/>
        <v>0</v>
      </c>
    </row>
    <row r="195" spans="1:28" ht="15" customHeight="1" x14ac:dyDescent="0.25">
      <c r="A195" s="26">
        <v>45841</v>
      </c>
      <c r="B195" s="28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30"/>
      <c r="Z195" s="24">
        <f t="shared" si="8"/>
        <v>0</v>
      </c>
      <c r="AA195" s="24" t="e">
        <f t="shared" si="9"/>
        <v>#DIV/0!</v>
      </c>
      <c r="AB195" s="2">
        <f t="shared" si="7"/>
        <v>0</v>
      </c>
    </row>
    <row r="196" spans="1:28" ht="15" customHeight="1" x14ac:dyDescent="0.25">
      <c r="A196" s="26">
        <v>45842</v>
      </c>
      <c r="B196" s="28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30"/>
      <c r="Z196" s="24">
        <f t="shared" si="8"/>
        <v>0</v>
      </c>
      <c r="AA196" s="24" t="e">
        <f t="shared" si="9"/>
        <v>#DIV/0!</v>
      </c>
      <c r="AB196" s="2">
        <f t="shared" si="7"/>
        <v>0</v>
      </c>
    </row>
    <row r="197" spans="1:28" ht="15" customHeight="1" x14ac:dyDescent="0.25">
      <c r="A197" s="26">
        <v>45843</v>
      </c>
      <c r="B197" s="28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30"/>
      <c r="Z197" s="24">
        <f t="shared" si="8"/>
        <v>0</v>
      </c>
      <c r="AA197" s="24" t="e">
        <f t="shared" si="9"/>
        <v>#DIV/0!</v>
      </c>
      <c r="AB197" s="2">
        <f t="shared" si="7"/>
        <v>0</v>
      </c>
    </row>
    <row r="198" spans="1:28" ht="15" customHeight="1" x14ac:dyDescent="0.25">
      <c r="A198" s="26">
        <v>45844</v>
      </c>
      <c r="B198" s="28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30"/>
      <c r="Z198" s="24">
        <f t="shared" si="8"/>
        <v>0</v>
      </c>
      <c r="AA198" s="24" t="e">
        <f t="shared" si="9"/>
        <v>#DIV/0!</v>
      </c>
      <c r="AB198" s="2">
        <f t="shared" si="7"/>
        <v>0</v>
      </c>
    </row>
    <row r="199" spans="1:28" ht="15" customHeight="1" x14ac:dyDescent="0.25">
      <c r="A199" s="26">
        <v>45845</v>
      </c>
      <c r="B199" s="28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30"/>
      <c r="Z199" s="24">
        <f t="shared" si="8"/>
        <v>0</v>
      </c>
      <c r="AA199" s="24" t="e">
        <f t="shared" si="9"/>
        <v>#DIV/0!</v>
      </c>
      <c r="AB199" s="2">
        <f t="shared" si="7"/>
        <v>0</v>
      </c>
    </row>
    <row r="200" spans="1:28" ht="15" customHeight="1" x14ac:dyDescent="0.25">
      <c r="A200" s="26">
        <v>45846</v>
      </c>
      <c r="B200" s="28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30"/>
      <c r="Z200" s="24">
        <f t="shared" si="8"/>
        <v>0</v>
      </c>
      <c r="AA200" s="24" t="e">
        <f t="shared" si="9"/>
        <v>#DIV/0!</v>
      </c>
      <c r="AB200" s="2">
        <f t="shared" si="7"/>
        <v>0</v>
      </c>
    </row>
    <row r="201" spans="1:28" ht="15" customHeight="1" x14ac:dyDescent="0.25">
      <c r="A201" s="26">
        <v>45847</v>
      </c>
      <c r="B201" s="28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30"/>
      <c r="Z201" s="24">
        <f t="shared" si="8"/>
        <v>0</v>
      </c>
      <c r="AA201" s="24" t="e">
        <f t="shared" si="9"/>
        <v>#DIV/0!</v>
      </c>
      <c r="AB201" s="2">
        <f t="shared" si="7"/>
        <v>0</v>
      </c>
    </row>
    <row r="202" spans="1:28" ht="15" customHeight="1" x14ac:dyDescent="0.25">
      <c r="A202" s="26">
        <v>45848</v>
      </c>
      <c r="B202" s="28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30"/>
      <c r="Z202" s="24">
        <f t="shared" si="8"/>
        <v>0</v>
      </c>
      <c r="AA202" s="24" t="e">
        <f t="shared" si="9"/>
        <v>#DIV/0!</v>
      </c>
      <c r="AB202" s="2">
        <f t="shared" si="7"/>
        <v>0</v>
      </c>
    </row>
    <row r="203" spans="1:28" ht="15" customHeight="1" x14ac:dyDescent="0.25">
      <c r="A203" s="26">
        <v>45849</v>
      </c>
      <c r="B203" s="28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30"/>
      <c r="Z203" s="24">
        <f t="shared" si="8"/>
        <v>0</v>
      </c>
      <c r="AA203" s="24" t="e">
        <f t="shared" si="9"/>
        <v>#DIV/0!</v>
      </c>
      <c r="AB203" s="2">
        <f t="shared" si="7"/>
        <v>0</v>
      </c>
    </row>
    <row r="204" spans="1:28" ht="15" customHeight="1" x14ac:dyDescent="0.25">
      <c r="A204" s="26">
        <v>45850</v>
      </c>
      <c r="B204" s="28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30"/>
      <c r="Z204" s="24">
        <f t="shared" si="8"/>
        <v>0</v>
      </c>
      <c r="AA204" s="24" t="e">
        <f t="shared" si="9"/>
        <v>#DIV/0!</v>
      </c>
      <c r="AB204" s="2">
        <f t="shared" si="7"/>
        <v>0</v>
      </c>
    </row>
    <row r="205" spans="1:28" ht="15" customHeight="1" x14ac:dyDescent="0.25">
      <c r="A205" s="26">
        <v>45851</v>
      </c>
      <c r="B205" s="28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30"/>
      <c r="Z205" s="24">
        <f t="shared" si="8"/>
        <v>0</v>
      </c>
      <c r="AA205" s="24" t="e">
        <f t="shared" si="9"/>
        <v>#DIV/0!</v>
      </c>
      <c r="AB205" s="2">
        <f t="shared" si="7"/>
        <v>0</v>
      </c>
    </row>
    <row r="206" spans="1:28" ht="15" customHeight="1" x14ac:dyDescent="0.25">
      <c r="A206" s="26">
        <v>45852</v>
      </c>
      <c r="B206" s="28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30"/>
      <c r="Z206" s="24">
        <f t="shared" si="8"/>
        <v>0</v>
      </c>
      <c r="AA206" s="24" t="e">
        <f t="shared" si="9"/>
        <v>#DIV/0!</v>
      </c>
      <c r="AB206" s="2">
        <f t="shared" si="7"/>
        <v>0</v>
      </c>
    </row>
    <row r="207" spans="1:28" ht="15" customHeight="1" x14ac:dyDescent="0.25">
      <c r="A207" s="26">
        <v>45853</v>
      </c>
      <c r="B207" s="28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30"/>
      <c r="Z207" s="24">
        <f t="shared" si="8"/>
        <v>0</v>
      </c>
      <c r="AA207" s="24" t="e">
        <f t="shared" si="9"/>
        <v>#DIV/0!</v>
      </c>
      <c r="AB207" s="2">
        <f t="shared" si="7"/>
        <v>0</v>
      </c>
    </row>
    <row r="208" spans="1:28" ht="15" customHeight="1" x14ac:dyDescent="0.25">
      <c r="A208" s="26">
        <v>45854</v>
      </c>
      <c r="B208" s="28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30"/>
      <c r="Z208" s="24">
        <f t="shared" si="8"/>
        <v>0</v>
      </c>
      <c r="AA208" s="24" t="e">
        <f t="shared" si="9"/>
        <v>#DIV/0!</v>
      </c>
      <c r="AB208" s="2">
        <f t="shared" si="7"/>
        <v>0</v>
      </c>
    </row>
    <row r="209" spans="1:28" ht="15" customHeight="1" x14ac:dyDescent="0.25">
      <c r="A209" s="26">
        <v>45855</v>
      </c>
      <c r="B209" s="28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30"/>
      <c r="Z209" s="24">
        <f t="shared" si="8"/>
        <v>0</v>
      </c>
      <c r="AA209" s="24" t="e">
        <f t="shared" si="9"/>
        <v>#DIV/0!</v>
      </c>
      <c r="AB209" s="2">
        <f t="shared" si="7"/>
        <v>0</v>
      </c>
    </row>
    <row r="210" spans="1:28" ht="15" customHeight="1" x14ac:dyDescent="0.25">
      <c r="A210" s="26">
        <v>45856</v>
      </c>
      <c r="B210" s="28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30"/>
      <c r="Z210" s="24">
        <f t="shared" si="8"/>
        <v>0</v>
      </c>
      <c r="AA210" s="24" t="e">
        <f t="shared" si="9"/>
        <v>#DIV/0!</v>
      </c>
      <c r="AB210" s="2">
        <f t="shared" si="7"/>
        <v>0</v>
      </c>
    </row>
    <row r="211" spans="1:28" ht="15" customHeight="1" x14ac:dyDescent="0.25">
      <c r="A211" s="26">
        <v>45857</v>
      </c>
      <c r="B211" s="28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30"/>
      <c r="Z211" s="24">
        <f t="shared" si="8"/>
        <v>0</v>
      </c>
      <c r="AA211" s="24" t="e">
        <f t="shared" si="9"/>
        <v>#DIV/0!</v>
      </c>
      <c r="AB211" s="2">
        <f t="shared" si="7"/>
        <v>0</v>
      </c>
    </row>
    <row r="212" spans="1:28" ht="15" customHeight="1" x14ac:dyDescent="0.25">
      <c r="A212" s="26">
        <v>45858</v>
      </c>
      <c r="B212" s="28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30"/>
      <c r="Z212" s="24">
        <f t="shared" si="8"/>
        <v>0</v>
      </c>
      <c r="AA212" s="24" t="e">
        <f t="shared" si="9"/>
        <v>#DIV/0!</v>
      </c>
      <c r="AB212" s="2">
        <f t="shared" si="7"/>
        <v>0</v>
      </c>
    </row>
    <row r="213" spans="1:28" ht="15" customHeight="1" x14ac:dyDescent="0.25">
      <c r="A213" s="26">
        <v>45859</v>
      </c>
      <c r="B213" s="28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30"/>
      <c r="Z213" s="24">
        <f t="shared" si="8"/>
        <v>0</v>
      </c>
      <c r="AA213" s="24" t="e">
        <f t="shared" si="9"/>
        <v>#DIV/0!</v>
      </c>
      <c r="AB213" s="2">
        <f t="shared" si="7"/>
        <v>0</v>
      </c>
    </row>
    <row r="214" spans="1:28" ht="15" customHeight="1" x14ac:dyDescent="0.25">
      <c r="A214" s="26">
        <v>45860</v>
      </c>
      <c r="B214" s="28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30"/>
      <c r="Z214" s="24">
        <f t="shared" si="8"/>
        <v>0</v>
      </c>
      <c r="AA214" s="24" t="e">
        <f t="shared" si="9"/>
        <v>#DIV/0!</v>
      </c>
      <c r="AB214" s="2">
        <f t="shared" si="7"/>
        <v>0</v>
      </c>
    </row>
    <row r="215" spans="1:28" ht="15" customHeight="1" x14ac:dyDescent="0.25">
      <c r="A215" s="26">
        <v>45861</v>
      </c>
      <c r="B215" s="28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30"/>
      <c r="Z215" s="24">
        <f t="shared" si="8"/>
        <v>0</v>
      </c>
      <c r="AA215" s="24" t="e">
        <f t="shared" si="9"/>
        <v>#DIV/0!</v>
      </c>
      <c r="AB215" s="2">
        <f t="shared" si="7"/>
        <v>0</v>
      </c>
    </row>
    <row r="216" spans="1:28" ht="15" customHeight="1" x14ac:dyDescent="0.25">
      <c r="A216" s="26">
        <v>45862</v>
      </c>
      <c r="B216" s="28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30"/>
      <c r="Z216" s="24">
        <f t="shared" si="8"/>
        <v>0</v>
      </c>
      <c r="AA216" s="24" t="e">
        <f t="shared" si="9"/>
        <v>#DIV/0!</v>
      </c>
      <c r="AB216" s="2">
        <f t="shared" si="7"/>
        <v>0</v>
      </c>
    </row>
    <row r="217" spans="1:28" ht="15" customHeight="1" x14ac:dyDescent="0.25">
      <c r="A217" s="26">
        <v>45863</v>
      </c>
      <c r="B217" s="28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30"/>
      <c r="Z217" s="24">
        <f t="shared" si="8"/>
        <v>0</v>
      </c>
      <c r="AA217" s="24" t="e">
        <f t="shared" si="9"/>
        <v>#DIV/0!</v>
      </c>
      <c r="AB217" s="2">
        <f t="shared" si="7"/>
        <v>0</v>
      </c>
    </row>
    <row r="218" spans="1:28" ht="15" customHeight="1" x14ac:dyDescent="0.25">
      <c r="A218" s="26">
        <v>45864</v>
      </c>
      <c r="B218" s="28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30"/>
      <c r="Z218" s="24">
        <f t="shared" si="8"/>
        <v>0</v>
      </c>
      <c r="AA218" s="24" t="e">
        <f t="shared" si="9"/>
        <v>#DIV/0!</v>
      </c>
      <c r="AB218" s="2">
        <f t="shared" si="7"/>
        <v>0</v>
      </c>
    </row>
    <row r="219" spans="1:28" ht="15" customHeight="1" x14ac:dyDescent="0.25">
      <c r="A219" s="26">
        <v>45865</v>
      </c>
      <c r="B219" s="28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30"/>
      <c r="Z219" s="24">
        <f t="shared" si="8"/>
        <v>0</v>
      </c>
      <c r="AA219" s="24" t="e">
        <f t="shared" si="9"/>
        <v>#DIV/0!</v>
      </c>
      <c r="AB219" s="2">
        <f t="shared" si="7"/>
        <v>0</v>
      </c>
    </row>
    <row r="220" spans="1:28" ht="15" customHeight="1" x14ac:dyDescent="0.25">
      <c r="A220" s="26">
        <v>45866</v>
      </c>
      <c r="B220" s="28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30"/>
      <c r="Z220" s="24">
        <f t="shared" si="8"/>
        <v>0</v>
      </c>
      <c r="AA220" s="24" t="e">
        <f t="shared" si="9"/>
        <v>#DIV/0!</v>
      </c>
      <c r="AB220" s="2">
        <f t="shared" si="7"/>
        <v>0</v>
      </c>
    </row>
    <row r="221" spans="1:28" ht="15" customHeight="1" x14ac:dyDescent="0.25">
      <c r="A221" s="26">
        <v>45867</v>
      </c>
      <c r="B221" s="28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30"/>
      <c r="Z221" s="24">
        <f t="shared" si="8"/>
        <v>0</v>
      </c>
      <c r="AA221" s="24" t="e">
        <f t="shared" si="9"/>
        <v>#DIV/0!</v>
      </c>
      <c r="AB221" s="2">
        <f t="shared" si="7"/>
        <v>0</v>
      </c>
    </row>
    <row r="222" spans="1:28" ht="15" customHeight="1" x14ac:dyDescent="0.25">
      <c r="A222" s="26">
        <v>45868</v>
      </c>
      <c r="B222" s="28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30"/>
      <c r="Z222" s="24">
        <f t="shared" si="8"/>
        <v>0</v>
      </c>
      <c r="AA222" s="24" t="e">
        <f t="shared" si="9"/>
        <v>#DIV/0!</v>
      </c>
      <c r="AB222" s="2">
        <f t="shared" si="7"/>
        <v>0</v>
      </c>
    </row>
    <row r="223" spans="1:28" ht="15" customHeight="1" x14ac:dyDescent="0.25">
      <c r="A223" s="26">
        <v>45869</v>
      </c>
      <c r="B223" s="44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6"/>
      <c r="Z223" s="37">
        <f t="shared" si="8"/>
        <v>0</v>
      </c>
      <c r="AA223" s="37" t="e">
        <f t="shared" si="9"/>
        <v>#DIV/0!</v>
      </c>
      <c r="AB223" s="2">
        <f t="shared" si="7"/>
        <v>0</v>
      </c>
    </row>
    <row r="224" spans="1:28" ht="15" customHeight="1" x14ac:dyDescent="0.25">
      <c r="A224" s="26">
        <v>45870</v>
      </c>
      <c r="B224" s="41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3"/>
      <c r="Z224" s="27">
        <f t="shared" si="8"/>
        <v>0</v>
      </c>
      <c r="AA224" s="27" t="e">
        <f t="shared" si="9"/>
        <v>#DIV/0!</v>
      </c>
      <c r="AB224" s="2">
        <f t="shared" si="7"/>
        <v>0</v>
      </c>
    </row>
    <row r="225" spans="1:28" ht="15" customHeight="1" x14ac:dyDescent="0.25">
      <c r="A225" s="26">
        <v>45871</v>
      </c>
      <c r="B225" s="28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30"/>
      <c r="Z225" s="24">
        <f t="shared" si="8"/>
        <v>0</v>
      </c>
      <c r="AA225" s="24" t="e">
        <f t="shared" si="9"/>
        <v>#DIV/0!</v>
      </c>
      <c r="AB225" s="2">
        <f t="shared" si="7"/>
        <v>0</v>
      </c>
    </row>
    <row r="226" spans="1:28" ht="15" customHeight="1" x14ac:dyDescent="0.25">
      <c r="A226" s="26">
        <v>45872</v>
      </c>
      <c r="B226" s="28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30"/>
      <c r="Z226" s="24">
        <f t="shared" si="8"/>
        <v>0</v>
      </c>
      <c r="AA226" s="24" t="e">
        <f t="shared" si="9"/>
        <v>#DIV/0!</v>
      </c>
      <c r="AB226" s="2">
        <f t="shared" si="7"/>
        <v>0</v>
      </c>
    </row>
    <row r="227" spans="1:28" ht="15" customHeight="1" x14ac:dyDescent="0.25">
      <c r="A227" s="26">
        <v>45873</v>
      </c>
      <c r="B227" s="28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30"/>
      <c r="Z227" s="24">
        <f t="shared" si="8"/>
        <v>0</v>
      </c>
      <c r="AA227" s="24" t="e">
        <f t="shared" si="9"/>
        <v>#DIV/0!</v>
      </c>
      <c r="AB227" s="2">
        <f t="shared" si="7"/>
        <v>0</v>
      </c>
    </row>
    <row r="228" spans="1:28" ht="15" customHeight="1" x14ac:dyDescent="0.25">
      <c r="A228" s="26">
        <v>45874</v>
      </c>
      <c r="B228" s="28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30"/>
      <c r="Z228" s="24">
        <f t="shared" si="8"/>
        <v>0</v>
      </c>
      <c r="AA228" s="24" t="e">
        <f t="shared" si="9"/>
        <v>#DIV/0!</v>
      </c>
      <c r="AB228" s="2">
        <f t="shared" si="7"/>
        <v>0</v>
      </c>
    </row>
    <row r="229" spans="1:28" ht="15" customHeight="1" x14ac:dyDescent="0.25">
      <c r="A229" s="26">
        <v>45875</v>
      </c>
      <c r="B229" s="28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30"/>
      <c r="Z229" s="24">
        <f t="shared" si="8"/>
        <v>0</v>
      </c>
      <c r="AA229" s="24" t="e">
        <f t="shared" si="9"/>
        <v>#DIV/0!</v>
      </c>
      <c r="AB229" s="2">
        <f t="shared" ref="AB229:AB292" si="10">MAX(B229:Y229)</f>
        <v>0</v>
      </c>
    </row>
    <row r="230" spans="1:28" ht="15" customHeight="1" x14ac:dyDescent="0.25">
      <c r="A230" s="26">
        <v>45876</v>
      </c>
      <c r="B230" s="28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30"/>
      <c r="Z230" s="24">
        <f t="shared" si="8"/>
        <v>0</v>
      </c>
      <c r="AA230" s="24" t="e">
        <f t="shared" si="9"/>
        <v>#DIV/0!</v>
      </c>
      <c r="AB230" s="2">
        <f t="shared" si="10"/>
        <v>0</v>
      </c>
    </row>
    <row r="231" spans="1:28" ht="15" customHeight="1" x14ac:dyDescent="0.25">
      <c r="A231" s="26">
        <v>45877</v>
      </c>
      <c r="B231" s="28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30"/>
      <c r="Z231" s="24">
        <f t="shared" si="8"/>
        <v>0</v>
      </c>
      <c r="AA231" s="24" t="e">
        <f t="shared" si="9"/>
        <v>#DIV/0!</v>
      </c>
      <c r="AB231" s="2">
        <f t="shared" si="10"/>
        <v>0</v>
      </c>
    </row>
    <row r="232" spans="1:28" ht="15" customHeight="1" x14ac:dyDescent="0.25">
      <c r="A232" s="26">
        <v>45878</v>
      </c>
      <c r="B232" s="28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30"/>
      <c r="Z232" s="24">
        <f t="shared" si="8"/>
        <v>0</v>
      </c>
      <c r="AA232" s="24" t="e">
        <f t="shared" si="9"/>
        <v>#DIV/0!</v>
      </c>
      <c r="AB232" s="2">
        <f t="shared" si="10"/>
        <v>0</v>
      </c>
    </row>
    <row r="233" spans="1:28" ht="15" customHeight="1" x14ac:dyDescent="0.25">
      <c r="A233" s="26">
        <v>45879</v>
      </c>
      <c r="B233" s="28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30"/>
      <c r="Z233" s="24">
        <f t="shared" si="8"/>
        <v>0</v>
      </c>
      <c r="AA233" s="24" t="e">
        <f t="shared" si="9"/>
        <v>#DIV/0!</v>
      </c>
      <c r="AB233" s="2">
        <f t="shared" si="10"/>
        <v>0</v>
      </c>
    </row>
    <row r="234" spans="1:28" ht="15" customHeight="1" x14ac:dyDescent="0.25">
      <c r="A234" s="26">
        <v>45880</v>
      </c>
      <c r="B234" s="28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30"/>
      <c r="Z234" s="24">
        <f t="shared" si="8"/>
        <v>0</v>
      </c>
      <c r="AA234" s="24" t="e">
        <f t="shared" si="9"/>
        <v>#DIV/0!</v>
      </c>
      <c r="AB234" s="2">
        <f t="shared" si="10"/>
        <v>0</v>
      </c>
    </row>
    <row r="235" spans="1:28" ht="15" customHeight="1" x14ac:dyDescent="0.25">
      <c r="A235" s="26">
        <v>45881</v>
      </c>
      <c r="B235" s="28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30"/>
      <c r="Z235" s="24">
        <f t="shared" si="8"/>
        <v>0</v>
      </c>
      <c r="AA235" s="24" t="e">
        <f t="shared" si="9"/>
        <v>#DIV/0!</v>
      </c>
      <c r="AB235" s="2">
        <f t="shared" si="10"/>
        <v>0</v>
      </c>
    </row>
    <row r="236" spans="1:28" ht="15" customHeight="1" x14ac:dyDescent="0.25">
      <c r="A236" s="26">
        <v>45882</v>
      </c>
      <c r="B236" s="28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30"/>
      <c r="Z236" s="24">
        <f t="shared" si="8"/>
        <v>0</v>
      </c>
      <c r="AA236" s="24" t="e">
        <f t="shared" si="9"/>
        <v>#DIV/0!</v>
      </c>
      <c r="AB236" s="2">
        <f t="shared" si="10"/>
        <v>0</v>
      </c>
    </row>
    <row r="237" spans="1:28" ht="15" customHeight="1" x14ac:dyDescent="0.25">
      <c r="A237" s="26">
        <v>45883</v>
      </c>
      <c r="B237" s="28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30"/>
      <c r="Z237" s="24">
        <f t="shared" si="8"/>
        <v>0</v>
      </c>
      <c r="AA237" s="24" t="e">
        <f t="shared" si="9"/>
        <v>#DIV/0!</v>
      </c>
      <c r="AB237" s="2">
        <f t="shared" si="10"/>
        <v>0</v>
      </c>
    </row>
    <row r="238" spans="1:28" ht="15" customHeight="1" x14ac:dyDescent="0.25">
      <c r="A238" s="26">
        <v>45884</v>
      </c>
      <c r="B238" s="28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30"/>
      <c r="Z238" s="24">
        <f t="shared" si="8"/>
        <v>0</v>
      </c>
      <c r="AA238" s="24" t="e">
        <f t="shared" si="9"/>
        <v>#DIV/0!</v>
      </c>
      <c r="AB238" s="2">
        <f t="shared" si="10"/>
        <v>0</v>
      </c>
    </row>
    <row r="239" spans="1:28" ht="15" customHeight="1" x14ac:dyDescent="0.25">
      <c r="A239" s="26">
        <v>45885</v>
      </c>
      <c r="B239" s="28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30"/>
      <c r="Z239" s="24">
        <f t="shared" si="8"/>
        <v>0</v>
      </c>
      <c r="AA239" s="24" t="e">
        <f t="shared" si="9"/>
        <v>#DIV/0!</v>
      </c>
      <c r="AB239" s="2">
        <f t="shared" si="10"/>
        <v>0</v>
      </c>
    </row>
    <row r="240" spans="1:28" ht="15" customHeight="1" x14ac:dyDescent="0.25">
      <c r="A240" s="26">
        <v>45886</v>
      </c>
      <c r="B240" s="28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30"/>
      <c r="Z240" s="24">
        <f t="shared" si="8"/>
        <v>0</v>
      </c>
      <c r="AA240" s="24" t="e">
        <f t="shared" si="9"/>
        <v>#DIV/0!</v>
      </c>
      <c r="AB240" s="2">
        <f t="shared" si="10"/>
        <v>0</v>
      </c>
    </row>
    <row r="241" spans="1:28" ht="15" customHeight="1" x14ac:dyDescent="0.25">
      <c r="A241" s="26">
        <v>45887</v>
      </c>
      <c r="B241" s="28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30"/>
      <c r="Z241" s="24">
        <f t="shared" si="8"/>
        <v>0</v>
      </c>
      <c r="AA241" s="24" t="e">
        <f t="shared" si="9"/>
        <v>#DIV/0!</v>
      </c>
      <c r="AB241" s="2">
        <f t="shared" si="10"/>
        <v>0</v>
      </c>
    </row>
    <row r="242" spans="1:28" ht="15" customHeight="1" x14ac:dyDescent="0.25">
      <c r="A242" s="26">
        <v>45888</v>
      </c>
      <c r="B242" s="28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30"/>
      <c r="Z242" s="24">
        <f t="shared" si="8"/>
        <v>0</v>
      </c>
      <c r="AA242" s="24" t="e">
        <f t="shared" si="9"/>
        <v>#DIV/0!</v>
      </c>
      <c r="AB242" s="2">
        <f t="shared" si="10"/>
        <v>0</v>
      </c>
    </row>
    <row r="243" spans="1:28" ht="15" customHeight="1" x14ac:dyDescent="0.25">
      <c r="A243" s="26">
        <v>45889</v>
      </c>
      <c r="B243" s="28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30"/>
      <c r="Z243" s="24">
        <f t="shared" si="8"/>
        <v>0</v>
      </c>
      <c r="AA243" s="24" t="e">
        <f t="shared" si="9"/>
        <v>#DIV/0!</v>
      </c>
      <c r="AB243" s="2">
        <f t="shared" si="10"/>
        <v>0</v>
      </c>
    </row>
    <row r="244" spans="1:28" ht="15" customHeight="1" x14ac:dyDescent="0.25">
      <c r="A244" s="26">
        <v>45890</v>
      </c>
      <c r="B244" s="28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30"/>
      <c r="Z244" s="24">
        <f t="shared" si="8"/>
        <v>0</v>
      </c>
      <c r="AA244" s="24" t="e">
        <f t="shared" si="9"/>
        <v>#DIV/0!</v>
      </c>
      <c r="AB244" s="2">
        <f t="shared" si="10"/>
        <v>0</v>
      </c>
    </row>
    <row r="245" spans="1:28" ht="15" customHeight="1" x14ac:dyDescent="0.25">
      <c r="A245" s="26">
        <v>45891</v>
      </c>
      <c r="B245" s="28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30"/>
      <c r="Z245" s="24">
        <f t="shared" si="8"/>
        <v>0</v>
      </c>
      <c r="AA245" s="24" t="e">
        <f t="shared" si="9"/>
        <v>#DIV/0!</v>
      </c>
      <c r="AB245" s="2">
        <f t="shared" si="10"/>
        <v>0</v>
      </c>
    </row>
    <row r="246" spans="1:28" ht="15" customHeight="1" x14ac:dyDescent="0.25">
      <c r="A246" s="26">
        <v>45892</v>
      </c>
      <c r="B246" s="28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30"/>
      <c r="Z246" s="24">
        <f t="shared" si="8"/>
        <v>0</v>
      </c>
      <c r="AA246" s="24" t="e">
        <f t="shared" si="9"/>
        <v>#DIV/0!</v>
      </c>
      <c r="AB246" s="2">
        <f t="shared" si="10"/>
        <v>0</v>
      </c>
    </row>
    <row r="247" spans="1:28" ht="15" customHeight="1" x14ac:dyDescent="0.25">
      <c r="A247" s="26">
        <v>45893</v>
      </c>
      <c r="B247" s="28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30"/>
      <c r="Z247" s="24">
        <f t="shared" si="8"/>
        <v>0</v>
      </c>
      <c r="AA247" s="24" t="e">
        <f t="shared" si="9"/>
        <v>#DIV/0!</v>
      </c>
      <c r="AB247" s="2">
        <f t="shared" si="10"/>
        <v>0</v>
      </c>
    </row>
    <row r="248" spans="1:28" ht="15" customHeight="1" x14ac:dyDescent="0.25">
      <c r="A248" s="26">
        <v>45894</v>
      </c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30"/>
      <c r="Z248" s="24">
        <f t="shared" si="8"/>
        <v>0</v>
      </c>
      <c r="AA248" s="24" t="e">
        <f t="shared" si="9"/>
        <v>#DIV/0!</v>
      </c>
      <c r="AB248" s="2">
        <f t="shared" si="10"/>
        <v>0</v>
      </c>
    </row>
    <row r="249" spans="1:28" ht="15" customHeight="1" x14ac:dyDescent="0.25">
      <c r="A249" s="26">
        <v>45895</v>
      </c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30"/>
      <c r="Z249" s="24">
        <f t="shared" si="8"/>
        <v>0</v>
      </c>
      <c r="AA249" s="24" t="e">
        <f t="shared" si="9"/>
        <v>#DIV/0!</v>
      </c>
      <c r="AB249" s="2">
        <f t="shared" si="10"/>
        <v>0</v>
      </c>
    </row>
    <row r="250" spans="1:28" ht="15" customHeight="1" x14ac:dyDescent="0.25">
      <c r="A250" s="26">
        <v>45896</v>
      </c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30"/>
      <c r="Z250" s="24">
        <f t="shared" si="8"/>
        <v>0</v>
      </c>
      <c r="AA250" s="24" t="e">
        <f t="shared" si="9"/>
        <v>#DIV/0!</v>
      </c>
      <c r="AB250" s="2">
        <f t="shared" si="10"/>
        <v>0</v>
      </c>
    </row>
    <row r="251" spans="1:28" ht="15" customHeight="1" x14ac:dyDescent="0.25">
      <c r="A251" s="26">
        <v>45897</v>
      </c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30"/>
      <c r="Z251" s="24">
        <f t="shared" si="8"/>
        <v>0</v>
      </c>
      <c r="AA251" s="24" t="e">
        <f t="shared" si="9"/>
        <v>#DIV/0!</v>
      </c>
      <c r="AB251" s="2">
        <f t="shared" si="10"/>
        <v>0</v>
      </c>
    </row>
    <row r="252" spans="1:28" ht="15" customHeight="1" x14ac:dyDescent="0.25">
      <c r="A252" s="26">
        <v>45898</v>
      </c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30"/>
      <c r="Z252" s="24">
        <f t="shared" si="8"/>
        <v>0</v>
      </c>
      <c r="AA252" s="24" t="e">
        <f t="shared" si="9"/>
        <v>#DIV/0!</v>
      </c>
      <c r="AB252" s="2">
        <f t="shared" si="10"/>
        <v>0</v>
      </c>
    </row>
    <row r="253" spans="1:28" ht="15" customHeight="1" x14ac:dyDescent="0.25">
      <c r="A253" s="26">
        <v>45899</v>
      </c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30"/>
      <c r="Z253" s="24">
        <f t="shared" si="8"/>
        <v>0</v>
      </c>
      <c r="AA253" s="24" t="e">
        <f t="shared" si="9"/>
        <v>#DIV/0!</v>
      </c>
      <c r="AB253" s="2">
        <f t="shared" si="10"/>
        <v>0</v>
      </c>
    </row>
    <row r="254" spans="1:28" ht="15" customHeight="1" x14ac:dyDescent="0.25">
      <c r="A254" s="26">
        <v>45900</v>
      </c>
      <c r="B254" s="44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6"/>
      <c r="Z254" s="37">
        <f t="shared" si="8"/>
        <v>0</v>
      </c>
      <c r="AA254" s="37" t="e">
        <f t="shared" si="9"/>
        <v>#DIV/0!</v>
      </c>
      <c r="AB254" s="2">
        <f t="shared" si="10"/>
        <v>0</v>
      </c>
    </row>
    <row r="255" spans="1:28" ht="15" customHeight="1" x14ac:dyDescent="0.25">
      <c r="A255" s="26">
        <v>45901</v>
      </c>
      <c r="B255" s="41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3"/>
      <c r="Z255" s="27">
        <f t="shared" si="8"/>
        <v>0</v>
      </c>
      <c r="AA255" s="27" t="e">
        <f t="shared" si="9"/>
        <v>#DIV/0!</v>
      </c>
      <c r="AB255" s="2">
        <f t="shared" si="10"/>
        <v>0</v>
      </c>
    </row>
    <row r="256" spans="1:28" ht="15" customHeight="1" x14ac:dyDescent="0.25">
      <c r="A256" s="26">
        <v>45902</v>
      </c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30"/>
      <c r="Z256" s="24">
        <f t="shared" si="8"/>
        <v>0</v>
      </c>
      <c r="AA256" s="24" t="e">
        <f t="shared" si="9"/>
        <v>#DIV/0!</v>
      </c>
      <c r="AB256" s="2">
        <f t="shared" si="10"/>
        <v>0</v>
      </c>
    </row>
    <row r="257" spans="1:28" ht="15" customHeight="1" x14ac:dyDescent="0.25">
      <c r="A257" s="26">
        <v>45903</v>
      </c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30"/>
      <c r="Z257" s="24">
        <f t="shared" ref="Z257:Z284" si="11">SUM(B257:Y257)</f>
        <v>0</v>
      </c>
      <c r="AA257" s="24" t="e">
        <f t="shared" ref="AA257:AA284" si="12">AVERAGE(B257:Y257)</f>
        <v>#DIV/0!</v>
      </c>
      <c r="AB257" s="2">
        <f t="shared" si="10"/>
        <v>0</v>
      </c>
    </row>
    <row r="258" spans="1:28" ht="15" customHeight="1" x14ac:dyDescent="0.25">
      <c r="A258" s="26">
        <v>45904</v>
      </c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30"/>
      <c r="Z258" s="24">
        <f t="shared" si="11"/>
        <v>0</v>
      </c>
      <c r="AA258" s="24" t="e">
        <f t="shared" si="12"/>
        <v>#DIV/0!</v>
      </c>
      <c r="AB258" s="2">
        <f t="shared" si="10"/>
        <v>0</v>
      </c>
    </row>
    <row r="259" spans="1:28" ht="15" customHeight="1" x14ac:dyDescent="0.25">
      <c r="A259" s="26">
        <v>45905</v>
      </c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30"/>
      <c r="Z259" s="24">
        <f t="shared" si="11"/>
        <v>0</v>
      </c>
      <c r="AA259" s="24" t="e">
        <f t="shared" si="12"/>
        <v>#DIV/0!</v>
      </c>
      <c r="AB259" s="2">
        <f t="shared" si="10"/>
        <v>0</v>
      </c>
    </row>
    <row r="260" spans="1:28" ht="15" customHeight="1" x14ac:dyDescent="0.25">
      <c r="A260" s="26">
        <v>45906</v>
      </c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30"/>
      <c r="Z260" s="24">
        <f t="shared" si="11"/>
        <v>0</v>
      </c>
      <c r="AA260" s="24" t="e">
        <f t="shared" si="12"/>
        <v>#DIV/0!</v>
      </c>
      <c r="AB260" s="2">
        <f t="shared" si="10"/>
        <v>0</v>
      </c>
    </row>
    <row r="261" spans="1:28" ht="15" customHeight="1" x14ac:dyDescent="0.25">
      <c r="A261" s="26">
        <v>45907</v>
      </c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30"/>
      <c r="Z261" s="24">
        <f t="shared" si="11"/>
        <v>0</v>
      </c>
      <c r="AA261" s="24" t="e">
        <f t="shared" si="12"/>
        <v>#DIV/0!</v>
      </c>
      <c r="AB261" s="2">
        <f t="shared" si="10"/>
        <v>0</v>
      </c>
    </row>
    <row r="262" spans="1:28" ht="15" customHeight="1" x14ac:dyDescent="0.25">
      <c r="A262" s="26">
        <v>45908</v>
      </c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30"/>
      <c r="Z262" s="24">
        <f t="shared" si="11"/>
        <v>0</v>
      </c>
      <c r="AA262" s="24" t="e">
        <f t="shared" si="12"/>
        <v>#DIV/0!</v>
      </c>
      <c r="AB262" s="2">
        <f t="shared" si="10"/>
        <v>0</v>
      </c>
    </row>
    <row r="263" spans="1:28" ht="15" customHeight="1" x14ac:dyDescent="0.25">
      <c r="A263" s="26">
        <v>45909</v>
      </c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30"/>
      <c r="Z263" s="24">
        <f t="shared" si="11"/>
        <v>0</v>
      </c>
      <c r="AA263" s="24" t="e">
        <f t="shared" si="12"/>
        <v>#DIV/0!</v>
      </c>
      <c r="AB263" s="2">
        <f t="shared" si="10"/>
        <v>0</v>
      </c>
    </row>
    <row r="264" spans="1:28" ht="15" customHeight="1" x14ac:dyDescent="0.25">
      <c r="A264" s="26">
        <v>45910</v>
      </c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30"/>
      <c r="Z264" s="24">
        <f t="shared" si="11"/>
        <v>0</v>
      </c>
      <c r="AA264" s="24" t="e">
        <f t="shared" si="12"/>
        <v>#DIV/0!</v>
      </c>
      <c r="AB264" s="2">
        <f t="shared" si="10"/>
        <v>0</v>
      </c>
    </row>
    <row r="265" spans="1:28" ht="15" customHeight="1" x14ac:dyDescent="0.25">
      <c r="A265" s="26">
        <v>45911</v>
      </c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30"/>
      <c r="Z265" s="24">
        <f t="shared" si="11"/>
        <v>0</v>
      </c>
      <c r="AA265" s="24" t="e">
        <f t="shared" si="12"/>
        <v>#DIV/0!</v>
      </c>
      <c r="AB265" s="2">
        <f t="shared" si="10"/>
        <v>0</v>
      </c>
    </row>
    <row r="266" spans="1:28" ht="15" customHeight="1" x14ac:dyDescent="0.25">
      <c r="A266" s="26">
        <v>45912</v>
      </c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30"/>
      <c r="Z266" s="24">
        <f t="shared" si="11"/>
        <v>0</v>
      </c>
      <c r="AA266" s="24" t="e">
        <f t="shared" si="12"/>
        <v>#DIV/0!</v>
      </c>
      <c r="AB266" s="2">
        <f t="shared" si="10"/>
        <v>0</v>
      </c>
    </row>
    <row r="267" spans="1:28" ht="15" customHeight="1" x14ac:dyDescent="0.25">
      <c r="A267" s="26">
        <v>45913</v>
      </c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30"/>
      <c r="Z267" s="24">
        <f t="shared" si="11"/>
        <v>0</v>
      </c>
      <c r="AA267" s="24" t="e">
        <f t="shared" si="12"/>
        <v>#DIV/0!</v>
      </c>
      <c r="AB267" s="2">
        <f t="shared" si="10"/>
        <v>0</v>
      </c>
    </row>
    <row r="268" spans="1:28" ht="15" customHeight="1" x14ac:dyDescent="0.25">
      <c r="A268" s="26">
        <v>45914</v>
      </c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30"/>
      <c r="Z268" s="24">
        <f t="shared" si="11"/>
        <v>0</v>
      </c>
      <c r="AA268" s="24" t="e">
        <f t="shared" si="12"/>
        <v>#DIV/0!</v>
      </c>
      <c r="AB268" s="2">
        <f t="shared" si="10"/>
        <v>0</v>
      </c>
    </row>
    <row r="269" spans="1:28" ht="15" customHeight="1" x14ac:dyDescent="0.25">
      <c r="A269" s="26">
        <v>45915</v>
      </c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30"/>
      <c r="Z269" s="24">
        <f t="shared" si="11"/>
        <v>0</v>
      </c>
      <c r="AA269" s="24" t="e">
        <f t="shared" si="12"/>
        <v>#DIV/0!</v>
      </c>
      <c r="AB269" s="2">
        <f t="shared" si="10"/>
        <v>0</v>
      </c>
    </row>
    <row r="270" spans="1:28" ht="15" customHeight="1" x14ac:dyDescent="0.25">
      <c r="A270" s="26">
        <v>45916</v>
      </c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30"/>
      <c r="Z270" s="24">
        <f t="shared" si="11"/>
        <v>0</v>
      </c>
      <c r="AA270" s="24" t="e">
        <f t="shared" si="12"/>
        <v>#DIV/0!</v>
      </c>
      <c r="AB270" s="2">
        <f t="shared" si="10"/>
        <v>0</v>
      </c>
    </row>
    <row r="271" spans="1:28" ht="15" customHeight="1" x14ac:dyDescent="0.25">
      <c r="A271" s="26">
        <v>45917</v>
      </c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30"/>
      <c r="Z271" s="24">
        <f t="shared" si="11"/>
        <v>0</v>
      </c>
      <c r="AA271" s="24" t="e">
        <f t="shared" si="12"/>
        <v>#DIV/0!</v>
      </c>
      <c r="AB271" s="2">
        <f t="shared" si="10"/>
        <v>0</v>
      </c>
    </row>
    <row r="272" spans="1:28" ht="15" customHeight="1" x14ac:dyDescent="0.25">
      <c r="A272" s="26">
        <v>45918</v>
      </c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30"/>
      <c r="Z272" s="24">
        <f t="shared" si="11"/>
        <v>0</v>
      </c>
      <c r="AA272" s="24" t="e">
        <f t="shared" si="12"/>
        <v>#DIV/0!</v>
      </c>
      <c r="AB272" s="2">
        <f t="shared" si="10"/>
        <v>0</v>
      </c>
    </row>
    <row r="273" spans="1:28" ht="15" customHeight="1" x14ac:dyDescent="0.25">
      <c r="A273" s="26">
        <v>45919</v>
      </c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30"/>
      <c r="Z273" s="24">
        <f t="shared" si="11"/>
        <v>0</v>
      </c>
      <c r="AA273" s="24" t="e">
        <f t="shared" si="12"/>
        <v>#DIV/0!</v>
      </c>
      <c r="AB273" s="2">
        <f t="shared" si="10"/>
        <v>0</v>
      </c>
    </row>
    <row r="274" spans="1:28" ht="15" customHeight="1" x14ac:dyDescent="0.25">
      <c r="A274" s="26">
        <v>45920</v>
      </c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30"/>
      <c r="Z274" s="24">
        <f t="shared" si="11"/>
        <v>0</v>
      </c>
      <c r="AA274" s="24" t="e">
        <f t="shared" si="12"/>
        <v>#DIV/0!</v>
      </c>
      <c r="AB274" s="2">
        <f t="shared" si="10"/>
        <v>0</v>
      </c>
    </row>
    <row r="275" spans="1:28" ht="15" customHeight="1" x14ac:dyDescent="0.25">
      <c r="A275" s="26">
        <v>45921</v>
      </c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30"/>
      <c r="Z275" s="24">
        <f t="shared" si="11"/>
        <v>0</v>
      </c>
      <c r="AA275" s="24" t="e">
        <f t="shared" si="12"/>
        <v>#DIV/0!</v>
      </c>
      <c r="AB275" s="2">
        <f t="shared" si="10"/>
        <v>0</v>
      </c>
    </row>
    <row r="276" spans="1:28" ht="15" customHeight="1" x14ac:dyDescent="0.25">
      <c r="A276" s="26">
        <v>45922</v>
      </c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30"/>
      <c r="Z276" s="24">
        <f t="shared" si="11"/>
        <v>0</v>
      </c>
      <c r="AA276" s="24" t="e">
        <f t="shared" si="12"/>
        <v>#DIV/0!</v>
      </c>
      <c r="AB276" s="2">
        <f t="shared" si="10"/>
        <v>0</v>
      </c>
    </row>
    <row r="277" spans="1:28" ht="15" customHeight="1" x14ac:dyDescent="0.25">
      <c r="A277" s="26">
        <v>45923</v>
      </c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30"/>
      <c r="Z277" s="24">
        <f t="shared" si="11"/>
        <v>0</v>
      </c>
      <c r="AA277" s="24" t="e">
        <f t="shared" si="12"/>
        <v>#DIV/0!</v>
      </c>
      <c r="AB277" s="2">
        <f t="shared" si="10"/>
        <v>0</v>
      </c>
    </row>
    <row r="278" spans="1:28" ht="15" customHeight="1" x14ac:dyDescent="0.25">
      <c r="A278" s="26">
        <v>45924</v>
      </c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30"/>
      <c r="Z278" s="24">
        <f t="shared" si="11"/>
        <v>0</v>
      </c>
      <c r="AA278" s="24" t="e">
        <f t="shared" si="12"/>
        <v>#DIV/0!</v>
      </c>
      <c r="AB278" s="2">
        <f t="shared" si="10"/>
        <v>0</v>
      </c>
    </row>
    <row r="279" spans="1:28" ht="15" customHeight="1" x14ac:dyDescent="0.25">
      <c r="A279" s="26">
        <v>45925</v>
      </c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30"/>
      <c r="Z279" s="24">
        <f t="shared" si="11"/>
        <v>0</v>
      </c>
      <c r="AA279" s="24" t="e">
        <f t="shared" si="12"/>
        <v>#DIV/0!</v>
      </c>
      <c r="AB279" s="2">
        <f t="shared" si="10"/>
        <v>0</v>
      </c>
    </row>
    <row r="280" spans="1:28" ht="15" customHeight="1" x14ac:dyDescent="0.25">
      <c r="A280" s="26">
        <v>45926</v>
      </c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30"/>
      <c r="Z280" s="24">
        <f t="shared" si="11"/>
        <v>0</v>
      </c>
      <c r="AA280" s="24" t="e">
        <f t="shared" si="12"/>
        <v>#DIV/0!</v>
      </c>
      <c r="AB280" s="2">
        <f t="shared" si="10"/>
        <v>0</v>
      </c>
    </row>
    <row r="281" spans="1:28" ht="15" customHeight="1" x14ac:dyDescent="0.25">
      <c r="A281" s="26">
        <v>45927</v>
      </c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30"/>
      <c r="Z281" s="24">
        <f t="shared" si="11"/>
        <v>0</v>
      </c>
      <c r="AA281" s="24" t="e">
        <f t="shared" si="12"/>
        <v>#DIV/0!</v>
      </c>
      <c r="AB281" s="2">
        <f t="shared" si="10"/>
        <v>0</v>
      </c>
    </row>
    <row r="282" spans="1:28" ht="15" customHeight="1" x14ac:dyDescent="0.25">
      <c r="A282" s="26">
        <v>45928</v>
      </c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30"/>
      <c r="Z282" s="24">
        <f t="shared" si="11"/>
        <v>0</v>
      </c>
      <c r="AA282" s="24" t="e">
        <f t="shared" si="12"/>
        <v>#DIV/0!</v>
      </c>
      <c r="AB282" s="2">
        <f t="shared" si="10"/>
        <v>0</v>
      </c>
    </row>
    <row r="283" spans="1:28" ht="15" customHeight="1" x14ac:dyDescent="0.25">
      <c r="A283" s="26">
        <v>45929</v>
      </c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30"/>
      <c r="Z283" s="24">
        <f t="shared" si="11"/>
        <v>0</v>
      </c>
      <c r="AA283" s="24" t="e">
        <f t="shared" si="12"/>
        <v>#DIV/0!</v>
      </c>
      <c r="AB283" s="2">
        <f t="shared" si="10"/>
        <v>0</v>
      </c>
    </row>
    <row r="284" spans="1:28" ht="15" customHeight="1" x14ac:dyDescent="0.25">
      <c r="A284" s="26">
        <v>45930</v>
      </c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30"/>
      <c r="Z284" s="24">
        <f t="shared" si="11"/>
        <v>0</v>
      </c>
      <c r="AA284" s="24" t="e">
        <f t="shared" si="12"/>
        <v>#DIV/0!</v>
      </c>
      <c r="AB284" s="2">
        <f t="shared" si="10"/>
        <v>0</v>
      </c>
    </row>
    <row r="285" spans="1:28" ht="15" customHeight="1" x14ac:dyDescent="0.25">
      <c r="A285" s="33"/>
      <c r="B285" s="34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47"/>
      <c r="Z285" s="37"/>
      <c r="AA285" s="37"/>
      <c r="AB285" s="2">
        <f t="shared" si="10"/>
        <v>0</v>
      </c>
    </row>
    <row r="286" spans="1:28" ht="15" customHeight="1" x14ac:dyDescent="0.25">
      <c r="A286" s="19">
        <v>45931</v>
      </c>
      <c r="B286" s="48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50"/>
      <c r="Z286" s="27">
        <f t="shared" ref="Z286:Z346" si="13">SUM(B286:Y286)</f>
        <v>0</v>
      </c>
      <c r="AA286" s="27" t="e">
        <f t="shared" ref="AA286:AA346" si="14">AVERAGE(B286:Y286)</f>
        <v>#DIV/0!</v>
      </c>
      <c r="AB286" s="2">
        <f t="shared" si="10"/>
        <v>0</v>
      </c>
    </row>
    <row r="287" spans="1:28" ht="15" customHeight="1" x14ac:dyDescent="0.25">
      <c r="A287" s="22">
        <f t="shared" ref="A287:A316" si="15">A286+1</f>
        <v>45932</v>
      </c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30"/>
      <c r="Z287" s="24">
        <f t="shared" si="13"/>
        <v>0</v>
      </c>
      <c r="AA287" s="24" t="e">
        <f t="shared" si="14"/>
        <v>#DIV/0!</v>
      </c>
      <c r="AB287" s="2">
        <f t="shared" si="10"/>
        <v>0</v>
      </c>
    </row>
    <row r="288" spans="1:28" ht="15" customHeight="1" x14ac:dyDescent="0.25">
      <c r="A288" s="22">
        <f t="shared" si="15"/>
        <v>45933</v>
      </c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30"/>
      <c r="Z288" s="24">
        <f t="shared" si="13"/>
        <v>0</v>
      </c>
      <c r="AA288" s="24" t="e">
        <f t="shared" si="14"/>
        <v>#DIV/0!</v>
      </c>
      <c r="AB288" s="2">
        <f t="shared" si="10"/>
        <v>0</v>
      </c>
    </row>
    <row r="289" spans="1:28" ht="15" customHeight="1" x14ac:dyDescent="0.25">
      <c r="A289" s="22">
        <f t="shared" si="15"/>
        <v>45934</v>
      </c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30"/>
      <c r="Z289" s="24">
        <f t="shared" si="13"/>
        <v>0</v>
      </c>
      <c r="AA289" s="24" t="e">
        <f t="shared" si="14"/>
        <v>#DIV/0!</v>
      </c>
      <c r="AB289" s="2">
        <f t="shared" si="10"/>
        <v>0</v>
      </c>
    </row>
    <row r="290" spans="1:28" ht="15" customHeight="1" x14ac:dyDescent="0.25">
      <c r="A290" s="22">
        <f t="shared" si="15"/>
        <v>45935</v>
      </c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30"/>
      <c r="Z290" s="24">
        <f t="shared" si="13"/>
        <v>0</v>
      </c>
      <c r="AA290" s="24" t="e">
        <f t="shared" si="14"/>
        <v>#DIV/0!</v>
      </c>
      <c r="AB290" s="2">
        <f t="shared" si="10"/>
        <v>0</v>
      </c>
    </row>
    <row r="291" spans="1:28" ht="15" customHeight="1" x14ac:dyDescent="0.25">
      <c r="A291" s="22">
        <f t="shared" si="15"/>
        <v>45936</v>
      </c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30"/>
      <c r="Z291" s="24">
        <f t="shared" si="13"/>
        <v>0</v>
      </c>
      <c r="AA291" s="24" t="e">
        <f t="shared" si="14"/>
        <v>#DIV/0!</v>
      </c>
      <c r="AB291" s="2">
        <f t="shared" si="10"/>
        <v>0</v>
      </c>
    </row>
    <row r="292" spans="1:28" ht="15" customHeight="1" x14ac:dyDescent="0.25">
      <c r="A292" s="22">
        <f t="shared" si="15"/>
        <v>45937</v>
      </c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30"/>
      <c r="Z292" s="24">
        <f t="shared" si="13"/>
        <v>0</v>
      </c>
      <c r="AA292" s="24" t="e">
        <f t="shared" si="14"/>
        <v>#DIV/0!</v>
      </c>
      <c r="AB292" s="2">
        <f t="shared" si="10"/>
        <v>0</v>
      </c>
    </row>
    <row r="293" spans="1:28" ht="15" customHeight="1" x14ac:dyDescent="0.25">
      <c r="A293" s="22">
        <f t="shared" si="15"/>
        <v>45938</v>
      </c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30"/>
      <c r="Z293" s="24">
        <f t="shared" si="13"/>
        <v>0</v>
      </c>
      <c r="AA293" s="24" t="e">
        <f t="shared" si="14"/>
        <v>#DIV/0!</v>
      </c>
      <c r="AB293" s="2">
        <f t="shared" ref="AB293:AB356" si="16">MAX(B293:Y293)</f>
        <v>0</v>
      </c>
    </row>
    <row r="294" spans="1:28" ht="15" customHeight="1" x14ac:dyDescent="0.25">
      <c r="A294" s="22">
        <f t="shared" si="15"/>
        <v>45939</v>
      </c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30"/>
      <c r="Z294" s="24">
        <f t="shared" si="13"/>
        <v>0</v>
      </c>
      <c r="AA294" s="24" t="e">
        <f t="shared" si="14"/>
        <v>#DIV/0!</v>
      </c>
      <c r="AB294" s="2">
        <f t="shared" si="16"/>
        <v>0</v>
      </c>
    </row>
    <row r="295" spans="1:28" ht="15" customHeight="1" x14ac:dyDescent="0.25">
      <c r="A295" s="22">
        <f t="shared" si="15"/>
        <v>45940</v>
      </c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30"/>
      <c r="Z295" s="24">
        <f t="shared" si="13"/>
        <v>0</v>
      </c>
      <c r="AA295" s="24" t="e">
        <f t="shared" si="14"/>
        <v>#DIV/0!</v>
      </c>
      <c r="AB295" s="2">
        <f t="shared" si="16"/>
        <v>0</v>
      </c>
    </row>
    <row r="296" spans="1:28" ht="15" customHeight="1" x14ac:dyDescent="0.25">
      <c r="A296" s="22">
        <f t="shared" si="15"/>
        <v>45941</v>
      </c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30"/>
      <c r="Z296" s="24">
        <f t="shared" si="13"/>
        <v>0</v>
      </c>
      <c r="AA296" s="24" t="e">
        <f t="shared" si="14"/>
        <v>#DIV/0!</v>
      </c>
      <c r="AB296" s="2">
        <f t="shared" si="16"/>
        <v>0</v>
      </c>
    </row>
    <row r="297" spans="1:28" ht="15" customHeight="1" x14ac:dyDescent="0.25">
      <c r="A297" s="22">
        <f t="shared" si="15"/>
        <v>45942</v>
      </c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30"/>
      <c r="Z297" s="24">
        <f t="shared" si="13"/>
        <v>0</v>
      </c>
      <c r="AA297" s="24" t="e">
        <f t="shared" si="14"/>
        <v>#DIV/0!</v>
      </c>
      <c r="AB297" s="2">
        <f t="shared" si="16"/>
        <v>0</v>
      </c>
    </row>
    <row r="298" spans="1:28" ht="15" customHeight="1" x14ac:dyDescent="0.25">
      <c r="A298" s="22">
        <f t="shared" si="15"/>
        <v>45943</v>
      </c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30"/>
      <c r="Z298" s="24">
        <f t="shared" si="13"/>
        <v>0</v>
      </c>
      <c r="AA298" s="24" t="e">
        <f t="shared" si="14"/>
        <v>#DIV/0!</v>
      </c>
      <c r="AB298" s="2">
        <f t="shared" si="16"/>
        <v>0</v>
      </c>
    </row>
    <row r="299" spans="1:28" ht="15" customHeight="1" x14ac:dyDescent="0.25">
      <c r="A299" s="22">
        <f t="shared" si="15"/>
        <v>45944</v>
      </c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30"/>
      <c r="Z299" s="24">
        <f t="shared" si="13"/>
        <v>0</v>
      </c>
      <c r="AA299" s="24" t="e">
        <f t="shared" si="14"/>
        <v>#DIV/0!</v>
      </c>
      <c r="AB299" s="2">
        <f t="shared" si="16"/>
        <v>0</v>
      </c>
    </row>
    <row r="300" spans="1:28" ht="15" customHeight="1" x14ac:dyDescent="0.25">
      <c r="A300" s="22">
        <f t="shared" si="15"/>
        <v>45945</v>
      </c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30"/>
      <c r="Z300" s="24">
        <f t="shared" si="13"/>
        <v>0</v>
      </c>
      <c r="AA300" s="24" t="e">
        <f t="shared" si="14"/>
        <v>#DIV/0!</v>
      </c>
      <c r="AB300" s="2">
        <f t="shared" si="16"/>
        <v>0</v>
      </c>
    </row>
    <row r="301" spans="1:28" ht="15" customHeight="1" x14ac:dyDescent="0.25">
      <c r="A301" s="22">
        <f t="shared" si="15"/>
        <v>45946</v>
      </c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30"/>
      <c r="Z301" s="24">
        <f t="shared" si="13"/>
        <v>0</v>
      </c>
      <c r="AA301" s="24" t="e">
        <f t="shared" si="14"/>
        <v>#DIV/0!</v>
      </c>
      <c r="AB301" s="2">
        <f t="shared" si="16"/>
        <v>0</v>
      </c>
    </row>
    <row r="302" spans="1:28" ht="15" customHeight="1" x14ac:dyDescent="0.25">
      <c r="A302" s="22">
        <f t="shared" si="15"/>
        <v>45947</v>
      </c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30"/>
      <c r="Z302" s="24">
        <f t="shared" si="13"/>
        <v>0</v>
      </c>
      <c r="AA302" s="24" t="e">
        <f t="shared" si="14"/>
        <v>#DIV/0!</v>
      </c>
      <c r="AB302" s="2">
        <f t="shared" si="16"/>
        <v>0</v>
      </c>
    </row>
    <row r="303" spans="1:28" ht="15" customHeight="1" x14ac:dyDescent="0.25">
      <c r="A303" s="22">
        <f t="shared" si="15"/>
        <v>45948</v>
      </c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30"/>
      <c r="Z303" s="24">
        <f t="shared" si="13"/>
        <v>0</v>
      </c>
      <c r="AA303" s="24" t="e">
        <f t="shared" si="14"/>
        <v>#DIV/0!</v>
      </c>
      <c r="AB303" s="2">
        <f t="shared" si="16"/>
        <v>0</v>
      </c>
    </row>
    <row r="304" spans="1:28" ht="15" customHeight="1" x14ac:dyDescent="0.25">
      <c r="A304" s="22">
        <f t="shared" si="15"/>
        <v>45949</v>
      </c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30"/>
      <c r="Z304" s="24">
        <f t="shared" si="13"/>
        <v>0</v>
      </c>
      <c r="AA304" s="24" t="e">
        <f t="shared" si="14"/>
        <v>#DIV/0!</v>
      </c>
      <c r="AB304" s="2">
        <f t="shared" si="16"/>
        <v>0</v>
      </c>
    </row>
    <row r="305" spans="1:28" ht="15" customHeight="1" x14ac:dyDescent="0.25">
      <c r="A305" s="22">
        <f t="shared" si="15"/>
        <v>45950</v>
      </c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30"/>
      <c r="Z305" s="24">
        <f t="shared" si="13"/>
        <v>0</v>
      </c>
      <c r="AA305" s="24" t="e">
        <f t="shared" si="14"/>
        <v>#DIV/0!</v>
      </c>
      <c r="AB305" s="2">
        <f t="shared" si="16"/>
        <v>0</v>
      </c>
    </row>
    <row r="306" spans="1:28" ht="15" customHeight="1" x14ac:dyDescent="0.25">
      <c r="A306" s="22">
        <f t="shared" si="15"/>
        <v>45951</v>
      </c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30"/>
      <c r="Z306" s="24">
        <f t="shared" si="13"/>
        <v>0</v>
      </c>
      <c r="AA306" s="24" t="e">
        <f t="shared" si="14"/>
        <v>#DIV/0!</v>
      </c>
      <c r="AB306" s="2">
        <f t="shared" si="16"/>
        <v>0</v>
      </c>
    </row>
    <row r="307" spans="1:28" ht="15" customHeight="1" x14ac:dyDescent="0.25">
      <c r="A307" s="22">
        <f t="shared" si="15"/>
        <v>45952</v>
      </c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30"/>
      <c r="Z307" s="24">
        <f t="shared" si="13"/>
        <v>0</v>
      </c>
      <c r="AA307" s="24" t="e">
        <f t="shared" si="14"/>
        <v>#DIV/0!</v>
      </c>
      <c r="AB307" s="2">
        <f t="shared" si="16"/>
        <v>0</v>
      </c>
    </row>
    <row r="308" spans="1:28" ht="15" customHeight="1" x14ac:dyDescent="0.25">
      <c r="A308" s="22">
        <f t="shared" si="15"/>
        <v>45953</v>
      </c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30"/>
      <c r="Z308" s="24">
        <f t="shared" si="13"/>
        <v>0</v>
      </c>
      <c r="AA308" s="24" t="e">
        <f t="shared" si="14"/>
        <v>#DIV/0!</v>
      </c>
      <c r="AB308" s="2">
        <f t="shared" si="16"/>
        <v>0</v>
      </c>
    </row>
    <row r="309" spans="1:28" ht="15" customHeight="1" x14ac:dyDescent="0.25">
      <c r="A309" s="22">
        <f t="shared" si="15"/>
        <v>45954</v>
      </c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30"/>
      <c r="Z309" s="24">
        <f t="shared" si="13"/>
        <v>0</v>
      </c>
      <c r="AA309" s="24" t="e">
        <f t="shared" si="14"/>
        <v>#DIV/0!</v>
      </c>
      <c r="AB309" s="2">
        <f t="shared" si="16"/>
        <v>0</v>
      </c>
    </row>
    <row r="310" spans="1:28" ht="15" customHeight="1" x14ac:dyDescent="0.25">
      <c r="A310" s="22">
        <f t="shared" si="15"/>
        <v>45955</v>
      </c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30"/>
      <c r="Z310" s="24">
        <f t="shared" si="13"/>
        <v>0</v>
      </c>
      <c r="AA310" s="24" t="e">
        <f t="shared" si="14"/>
        <v>#DIV/0!</v>
      </c>
      <c r="AB310" s="2">
        <f t="shared" si="16"/>
        <v>0</v>
      </c>
    </row>
    <row r="311" spans="1:28" ht="15" customHeight="1" x14ac:dyDescent="0.25">
      <c r="A311" s="22">
        <f t="shared" si="15"/>
        <v>45956</v>
      </c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30"/>
      <c r="Z311" s="24">
        <f t="shared" si="13"/>
        <v>0</v>
      </c>
      <c r="AA311" s="24" t="e">
        <f t="shared" si="14"/>
        <v>#DIV/0!</v>
      </c>
      <c r="AB311" s="2">
        <f t="shared" si="16"/>
        <v>0</v>
      </c>
    </row>
    <row r="312" spans="1:28" ht="15" customHeight="1" x14ac:dyDescent="0.25">
      <c r="A312" s="22">
        <f t="shared" si="15"/>
        <v>45957</v>
      </c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30"/>
      <c r="Z312" s="24">
        <f t="shared" si="13"/>
        <v>0</v>
      </c>
      <c r="AA312" s="24" t="e">
        <f t="shared" si="14"/>
        <v>#DIV/0!</v>
      </c>
      <c r="AB312" s="2">
        <f t="shared" si="16"/>
        <v>0</v>
      </c>
    </row>
    <row r="313" spans="1:28" ht="15" customHeight="1" x14ac:dyDescent="0.25">
      <c r="A313" s="22">
        <f t="shared" si="15"/>
        <v>45958</v>
      </c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30"/>
      <c r="Z313" s="24">
        <f t="shared" si="13"/>
        <v>0</v>
      </c>
      <c r="AA313" s="24" t="e">
        <f t="shared" si="14"/>
        <v>#DIV/0!</v>
      </c>
      <c r="AB313" s="2">
        <f t="shared" si="16"/>
        <v>0</v>
      </c>
    </row>
    <row r="314" spans="1:28" ht="15" customHeight="1" x14ac:dyDescent="0.25">
      <c r="A314" s="22">
        <f t="shared" si="15"/>
        <v>45959</v>
      </c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30"/>
      <c r="Z314" s="24">
        <f t="shared" si="13"/>
        <v>0</v>
      </c>
      <c r="AA314" s="24" t="e">
        <f t="shared" si="14"/>
        <v>#DIV/0!</v>
      </c>
      <c r="AB314" s="2">
        <f t="shared" si="16"/>
        <v>0</v>
      </c>
    </row>
    <row r="315" spans="1:28" ht="15" customHeight="1" x14ac:dyDescent="0.25">
      <c r="A315" s="22">
        <f t="shared" si="15"/>
        <v>45960</v>
      </c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30"/>
      <c r="Z315" s="24">
        <f t="shared" si="13"/>
        <v>0</v>
      </c>
      <c r="AA315" s="24" t="e">
        <f t="shared" si="14"/>
        <v>#DIV/0!</v>
      </c>
      <c r="AB315" s="2">
        <f t="shared" si="16"/>
        <v>0</v>
      </c>
    </row>
    <row r="316" spans="1:28" ht="15" customHeight="1" x14ac:dyDescent="0.25">
      <c r="A316" s="40">
        <f t="shared" si="15"/>
        <v>45961</v>
      </c>
      <c r="B316" s="44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6"/>
      <c r="Z316" s="37">
        <f t="shared" si="13"/>
        <v>0</v>
      </c>
      <c r="AA316" s="37" t="e">
        <f t="shared" si="14"/>
        <v>#DIV/0!</v>
      </c>
      <c r="AB316" s="2">
        <f t="shared" si="16"/>
        <v>0</v>
      </c>
    </row>
    <row r="317" spans="1:28" ht="15" customHeight="1" x14ac:dyDescent="0.25">
      <c r="A317" s="26">
        <v>45962</v>
      </c>
      <c r="B317" s="41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3"/>
      <c r="Z317" s="27">
        <f t="shared" si="13"/>
        <v>0</v>
      </c>
      <c r="AA317" s="27" t="e">
        <f t="shared" si="14"/>
        <v>#DIV/0!</v>
      </c>
      <c r="AB317" s="2">
        <f t="shared" si="16"/>
        <v>0</v>
      </c>
    </row>
    <row r="318" spans="1:28" ht="15" customHeight="1" x14ac:dyDescent="0.25">
      <c r="A318" s="26">
        <v>45963</v>
      </c>
      <c r="B318" s="41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3"/>
      <c r="Z318" s="24">
        <f t="shared" si="13"/>
        <v>0</v>
      </c>
      <c r="AA318" s="24" t="e">
        <f t="shared" si="14"/>
        <v>#DIV/0!</v>
      </c>
      <c r="AB318" s="2">
        <f t="shared" si="16"/>
        <v>0</v>
      </c>
    </row>
    <row r="319" spans="1:28" ht="15" customHeight="1" x14ac:dyDescent="0.25">
      <c r="A319" s="26">
        <v>45964</v>
      </c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30"/>
      <c r="Z319" s="24">
        <f t="shared" si="13"/>
        <v>0</v>
      </c>
      <c r="AA319" s="24" t="e">
        <f t="shared" si="14"/>
        <v>#DIV/0!</v>
      </c>
      <c r="AB319" s="2">
        <f t="shared" si="16"/>
        <v>0</v>
      </c>
    </row>
    <row r="320" spans="1:28" ht="15" customHeight="1" x14ac:dyDescent="0.25">
      <c r="A320" s="26">
        <v>45965</v>
      </c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30"/>
      <c r="Z320" s="24">
        <f t="shared" si="13"/>
        <v>0</v>
      </c>
      <c r="AA320" s="24" t="e">
        <f t="shared" si="14"/>
        <v>#DIV/0!</v>
      </c>
      <c r="AB320" s="2">
        <f t="shared" si="16"/>
        <v>0</v>
      </c>
    </row>
    <row r="321" spans="1:28" ht="15" customHeight="1" x14ac:dyDescent="0.25">
      <c r="A321" s="26">
        <v>45966</v>
      </c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30"/>
      <c r="Z321" s="24">
        <f t="shared" si="13"/>
        <v>0</v>
      </c>
      <c r="AA321" s="24" t="e">
        <f t="shared" si="14"/>
        <v>#DIV/0!</v>
      </c>
      <c r="AB321" s="2">
        <f t="shared" si="16"/>
        <v>0</v>
      </c>
    </row>
    <row r="322" spans="1:28" ht="15" customHeight="1" x14ac:dyDescent="0.25">
      <c r="A322" s="26">
        <v>45967</v>
      </c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30"/>
      <c r="Z322" s="24">
        <f t="shared" si="13"/>
        <v>0</v>
      </c>
      <c r="AA322" s="24" t="e">
        <f t="shared" si="14"/>
        <v>#DIV/0!</v>
      </c>
      <c r="AB322" s="2">
        <f t="shared" si="16"/>
        <v>0</v>
      </c>
    </row>
    <row r="323" spans="1:28" ht="15" customHeight="1" x14ac:dyDescent="0.25">
      <c r="A323" s="26">
        <v>45968</v>
      </c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30"/>
      <c r="Z323" s="24">
        <f t="shared" si="13"/>
        <v>0</v>
      </c>
      <c r="AA323" s="24" t="e">
        <f t="shared" si="14"/>
        <v>#DIV/0!</v>
      </c>
      <c r="AB323" s="2">
        <f t="shared" si="16"/>
        <v>0</v>
      </c>
    </row>
    <row r="324" spans="1:28" ht="15" customHeight="1" x14ac:dyDescent="0.25">
      <c r="A324" s="26">
        <v>45969</v>
      </c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30"/>
      <c r="Z324" s="24">
        <f t="shared" si="13"/>
        <v>0</v>
      </c>
      <c r="AA324" s="24" t="e">
        <f t="shared" si="14"/>
        <v>#DIV/0!</v>
      </c>
      <c r="AB324" s="2">
        <f t="shared" si="16"/>
        <v>0</v>
      </c>
    </row>
    <row r="325" spans="1:28" ht="15" customHeight="1" x14ac:dyDescent="0.25">
      <c r="A325" s="26">
        <v>45970</v>
      </c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30"/>
      <c r="Z325" s="24">
        <f t="shared" si="13"/>
        <v>0</v>
      </c>
      <c r="AA325" s="24" t="e">
        <f t="shared" si="14"/>
        <v>#DIV/0!</v>
      </c>
      <c r="AB325" s="2">
        <f t="shared" si="16"/>
        <v>0</v>
      </c>
    </row>
    <row r="326" spans="1:28" ht="15" customHeight="1" x14ac:dyDescent="0.25">
      <c r="A326" s="26">
        <v>45971</v>
      </c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30"/>
      <c r="Z326" s="24">
        <f t="shared" si="13"/>
        <v>0</v>
      </c>
      <c r="AA326" s="24" t="e">
        <f t="shared" si="14"/>
        <v>#DIV/0!</v>
      </c>
      <c r="AB326" s="2">
        <f t="shared" si="16"/>
        <v>0</v>
      </c>
    </row>
    <row r="327" spans="1:28" ht="15" customHeight="1" x14ac:dyDescent="0.25">
      <c r="A327" s="26">
        <v>45972</v>
      </c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30"/>
      <c r="Z327" s="24">
        <f t="shared" si="13"/>
        <v>0</v>
      </c>
      <c r="AA327" s="24" t="e">
        <f t="shared" si="14"/>
        <v>#DIV/0!</v>
      </c>
      <c r="AB327" s="2">
        <f t="shared" si="16"/>
        <v>0</v>
      </c>
    </row>
    <row r="328" spans="1:28" ht="15" customHeight="1" x14ac:dyDescent="0.25">
      <c r="A328" s="26">
        <v>45973</v>
      </c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30"/>
      <c r="Z328" s="24">
        <f t="shared" si="13"/>
        <v>0</v>
      </c>
      <c r="AA328" s="24" t="e">
        <f t="shared" si="14"/>
        <v>#DIV/0!</v>
      </c>
      <c r="AB328" s="2">
        <f t="shared" si="16"/>
        <v>0</v>
      </c>
    </row>
    <row r="329" spans="1:28" ht="15" customHeight="1" x14ac:dyDescent="0.25">
      <c r="A329" s="26">
        <v>45974</v>
      </c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30"/>
      <c r="Z329" s="24">
        <f t="shared" si="13"/>
        <v>0</v>
      </c>
      <c r="AA329" s="24" t="e">
        <f t="shared" si="14"/>
        <v>#DIV/0!</v>
      </c>
      <c r="AB329" s="2">
        <f t="shared" si="16"/>
        <v>0</v>
      </c>
    </row>
    <row r="330" spans="1:28" ht="15" customHeight="1" x14ac:dyDescent="0.25">
      <c r="A330" s="26">
        <v>45975</v>
      </c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30"/>
      <c r="Z330" s="24">
        <f t="shared" si="13"/>
        <v>0</v>
      </c>
      <c r="AA330" s="24" t="e">
        <f t="shared" si="14"/>
        <v>#DIV/0!</v>
      </c>
      <c r="AB330" s="2">
        <f t="shared" si="16"/>
        <v>0</v>
      </c>
    </row>
    <row r="331" spans="1:28" ht="15" customHeight="1" x14ac:dyDescent="0.25">
      <c r="A331" s="26">
        <v>45976</v>
      </c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30"/>
      <c r="Z331" s="24">
        <f t="shared" si="13"/>
        <v>0</v>
      </c>
      <c r="AA331" s="24" t="e">
        <f t="shared" si="14"/>
        <v>#DIV/0!</v>
      </c>
      <c r="AB331" s="2">
        <f t="shared" si="16"/>
        <v>0</v>
      </c>
    </row>
    <row r="332" spans="1:28" ht="15" customHeight="1" x14ac:dyDescent="0.25">
      <c r="A332" s="26">
        <v>45977</v>
      </c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30"/>
      <c r="Z332" s="24">
        <f t="shared" si="13"/>
        <v>0</v>
      </c>
      <c r="AA332" s="24" t="e">
        <f t="shared" si="14"/>
        <v>#DIV/0!</v>
      </c>
      <c r="AB332" s="2">
        <f t="shared" si="16"/>
        <v>0</v>
      </c>
    </row>
    <row r="333" spans="1:28" ht="15" customHeight="1" x14ac:dyDescent="0.25">
      <c r="A333" s="26">
        <v>45978</v>
      </c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30"/>
      <c r="Z333" s="24">
        <f t="shared" si="13"/>
        <v>0</v>
      </c>
      <c r="AA333" s="24" t="e">
        <f t="shared" si="14"/>
        <v>#DIV/0!</v>
      </c>
      <c r="AB333" s="2">
        <f t="shared" si="16"/>
        <v>0</v>
      </c>
    </row>
    <row r="334" spans="1:28" ht="15" customHeight="1" x14ac:dyDescent="0.25">
      <c r="A334" s="26">
        <v>45979</v>
      </c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30"/>
      <c r="Z334" s="24">
        <f t="shared" si="13"/>
        <v>0</v>
      </c>
      <c r="AA334" s="24" t="e">
        <f t="shared" si="14"/>
        <v>#DIV/0!</v>
      </c>
      <c r="AB334" s="2">
        <f t="shared" si="16"/>
        <v>0</v>
      </c>
    </row>
    <row r="335" spans="1:28" ht="15" customHeight="1" x14ac:dyDescent="0.25">
      <c r="A335" s="26">
        <v>45980</v>
      </c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30"/>
      <c r="Z335" s="24">
        <f t="shared" si="13"/>
        <v>0</v>
      </c>
      <c r="AA335" s="24" t="e">
        <f t="shared" si="14"/>
        <v>#DIV/0!</v>
      </c>
      <c r="AB335" s="2">
        <f t="shared" si="16"/>
        <v>0</v>
      </c>
    </row>
    <row r="336" spans="1:28" ht="15" customHeight="1" x14ac:dyDescent="0.25">
      <c r="A336" s="26">
        <v>45981</v>
      </c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30"/>
      <c r="Z336" s="24">
        <f t="shared" si="13"/>
        <v>0</v>
      </c>
      <c r="AA336" s="24" t="e">
        <f t="shared" si="14"/>
        <v>#DIV/0!</v>
      </c>
      <c r="AB336" s="2">
        <f t="shared" si="16"/>
        <v>0</v>
      </c>
    </row>
    <row r="337" spans="1:28" ht="15" customHeight="1" x14ac:dyDescent="0.25">
      <c r="A337" s="26">
        <v>45982</v>
      </c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30"/>
      <c r="Z337" s="24">
        <f t="shared" si="13"/>
        <v>0</v>
      </c>
      <c r="AA337" s="24" t="e">
        <f t="shared" si="14"/>
        <v>#DIV/0!</v>
      </c>
      <c r="AB337" s="2">
        <f t="shared" si="16"/>
        <v>0</v>
      </c>
    </row>
    <row r="338" spans="1:28" ht="15" customHeight="1" x14ac:dyDescent="0.25">
      <c r="A338" s="26">
        <v>45983</v>
      </c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30"/>
      <c r="Z338" s="24">
        <f t="shared" si="13"/>
        <v>0</v>
      </c>
      <c r="AA338" s="24" t="e">
        <f t="shared" si="14"/>
        <v>#DIV/0!</v>
      </c>
      <c r="AB338" s="2">
        <f t="shared" si="16"/>
        <v>0</v>
      </c>
    </row>
    <row r="339" spans="1:28" ht="15" customHeight="1" x14ac:dyDescent="0.25">
      <c r="A339" s="26">
        <v>45984</v>
      </c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30"/>
      <c r="Z339" s="24">
        <f t="shared" si="13"/>
        <v>0</v>
      </c>
      <c r="AA339" s="24" t="e">
        <f t="shared" si="14"/>
        <v>#DIV/0!</v>
      </c>
      <c r="AB339" s="2">
        <f t="shared" si="16"/>
        <v>0</v>
      </c>
    </row>
    <row r="340" spans="1:28" ht="15" customHeight="1" x14ac:dyDescent="0.25">
      <c r="A340" s="26">
        <v>45985</v>
      </c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30"/>
      <c r="Z340" s="24">
        <f t="shared" si="13"/>
        <v>0</v>
      </c>
      <c r="AA340" s="24" t="e">
        <f t="shared" si="14"/>
        <v>#DIV/0!</v>
      </c>
      <c r="AB340" s="2">
        <f t="shared" si="16"/>
        <v>0</v>
      </c>
    </row>
    <row r="341" spans="1:28" ht="15" customHeight="1" x14ac:dyDescent="0.25">
      <c r="A341" s="26">
        <v>45986</v>
      </c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30"/>
      <c r="Z341" s="24">
        <f t="shared" si="13"/>
        <v>0</v>
      </c>
      <c r="AA341" s="24" t="e">
        <f t="shared" si="14"/>
        <v>#DIV/0!</v>
      </c>
      <c r="AB341" s="2">
        <f t="shared" si="16"/>
        <v>0</v>
      </c>
    </row>
    <row r="342" spans="1:28" ht="15" customHeight="1" x14ac:dyDescent="0.25">
      <c r="A342" s="26">
        <v>45987</v>
      </c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30"/>
      <c r="Z342" s="24">
        <f t="shared" si="13"/>
        <v>0</v>
      </c>
      <c r="AA342" s="24" t="e">
        <f t="shared" si="14"/>
        <v>#DIV/0!</v>
      </c>
      <c r="AB342" s="2">
        <f t="shared" si="16"/>
        <v>0</v>
      </c>
    </row>
    <row r="343" spans="1:28" ht="15" customHeight="1" x14ac:dyDescent="0.25">
      <c r="A343" s="26">
        <v>45988</v>
      </c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30"/>
      <c r="Z343" s="24">
        <f t="shared" si="13"/>
        <v>0</v>
      </c>
      <c r="AA343" s="24" t="e">
        <f t="shared" si="14"/>
        <v>#DIV/0!</v>
      </c>
      <c r="AB343" s="2">
        <f t="shared" si="16"/>
        <v>0</v>
      </c>
    </row>
    <row r="344" spans="1:28" ht="15" customHeight="1" x14ac:dyDescent="0.25">
      <c r="A344" s="26">
        <v>45989</v>
      </c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30"/>
      <c r="Z344" s="24">
        <f t="shared" si="13"/>
        <v>0</v>
      </c>
      <c r="AA344" s="24" t="e">
        <f t="shared" si="14"/>
        <v>#DIV/0!</v>
      </c>
      <c r="AB344" s="2">
        <f t="shared" si="16"/>
        <v>0</v>
      </c>
    </row>
    <row r="345" spans="1:28" ht="15" customHeight="1" x14ac:dyDescent="0.25">
      <c r="A345" s="26">
        <v>45990</v>
      </c>
      <c r="B345" s="28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30"/>
      <c r="Z345" s="24">
        <f t="shared" si="13"/>
        <v>0</v>
      </c>
      <c r="AA345" s="24" t="e">
        <f t="shared" si="14"/>
        <v>#DIV/0!</v>
      </c>
      <c r="AB345" s="2">
        <f t="shared" si="16"/>
        <v>0</v>
      </c>
    </row>
    <row r="346" spans="1:28" ht="15" customHeight="1" x14ac:dyDescent="0.25">
      <c r="A346" s="26">
        <v>45991</v>
      </c>
      <c r="B346" s="28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30"/>
      <c r="Z346" s="24">
        <f t="shared" si="13"/>
        <v>0</v>
      </c>
      <c r="AA346" s="24" t="e">
        <f t="shared" si="14"/>
        <v>#DIV/0!</v>
      </c>
      <c r="AB346" s="2">
        <f t="shared" si="16"/>
        <v>0</v>
      </c>
    </row>
    <row r="347" spans="1:28" ht="15" customHeight="1" x14ac:dyDescent="0.25">
      <c r="A347" s="40"/>
      <c r="B347" s="44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6"/>
      <c r="Z347" s="37"/>
      <c r="AA347" s="37"/>
      <c r="AB347" s="2">
        <f t="shared" si="16"/>
        <v>0</v>
      </c>
    </row>
    <row r="348" spans="1:28" ht="15" customHeight="1" x14ac:dyDescent="0.25">
      <c r="A348" s="26">
        <v>45992</v>
      </c>
      <c r="B348" s="41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3"/>
      <c r="Z348" s="27">
        <f t="shared" ref="Z348:Z378" si="17">SUM(B348:Y348)</f>
        <v>0</v>
      </c>
      <c r="AA348" s="27" t="e">
        <f t="shared" ref="AA348:AA378" si="18">AVERAGE(B348:Y348)</f>
        <v>#DIV/0!</v>
      </c>
      <c r="AB348" s="2">
        <f t="shared" si="16"/>
        <v>0</v>
      </c>
    </row>
    <row r="349" spans="1:28" ht="15" customHeight="1" x14ac:dyDescent="0.25">
      <c r="A349" s="26">
        <v>45993</v>
      </c>
      <c r="B349" s="28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30"/>
      <c r="Z349" s="24">
        <f t="shared" si="17"/>
        <v>0</v>
      </c>
      <c r="AA349" s="24" t="e">
        <f t="shared" si="18"/>
        <v>#DIV/0!</v>
      </c>
      <c r="AB349" s="2">
        <f t="shared" si="16"/>
        <v>0</v>
      </c>
    </row>
    <row r="350" spans="1:28" ht="15" customHeight="1" x14ac:dyDescent="0.25">
      <c r="A350" s="26">
        <v>45994</v>
      </c>
      <c r="B350" s="28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30"/>
      <c r="Z350" s="24">
        <f t="shared" si="17"/>
        <v>0</v>
      </c>
      <c r="AA350" s="24" t="e">
        <f t="shared" si="18"/>
        <v>#DIV/0!</v>
      </c>
      <c r="AB350" s="2">
        <f t="shared" si="16"/>
        <v>0</v>
      </c>
    </row>
    <row r="351" spans="1:28" ht="15" customHeight="1" x14ac:dyDescent="0.25">
      <c r="A351" s="26">
        <v>45995</v>
      </c>
      <c r="B351" s="28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30"/>
      <c r="Z351" s="24">
        <f t="shared" si="17"/>
        <v>0</v>
      </c>
      <c r="AA351" s="24" t="e">
        <f t="shared" si="18"/>
        <v>#DIV/0!</v>
      </c>
      <c r="AB351" s="2">
        <f t="shared" si="16"/>
        <v>0</v>
      </c>
    </row>
    <row r="352" spans="1:28" ht="15" customHeight="1" x14ac:dyDescent="0.25">
      <c r="A352" s="26">
        <v>45996</v>
      </c>
      <c r="B352" s="28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30"/>
      <c r="Z352" s="24">
        <f t="shared" si="17"/>
        <v>0</v>
      </c>
      <c r="AA352" s="24" t="e">
        <f t="shared" si="18"/>
        <v>#DIV/0!</v>
      </c>
      <c r="AB352" s="2">
        <f t="shared" si="16"/>
        <v>0</v>
      </c>
    </row>
    <row r="353" spans="1:28" ht="15" customHeight="1" x14ac:dyDescent="0.25">
      <c r="A353" s="26">
        <v>45997</v>
      </c>
      <c r="B353" s="28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30"/>
      <c r="Z353" s="24">
        <f t="shared" si="17"/>
        <v>0</v>
      </c>
      <c r="AA353" s="24" t="e">
        <f t="shared" si="18"/>
        <v>#DIV/0!</v>
      </c>
      <c r="AB353" s="2">
        <f t="shared" si="16"/>
        <v>0</v>
      </c>
    </row>
    <row r="354" spans="1:28" ht="15" customHeight="1" x14ac:dyDescent="0.25">
      <c r="A354" s="26">
        <v>45998</v>
      </c>
      <c r="B354" s="28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30"/>
      <c r="Z354" s="24">
        <f t="shared" si="17"/>
        <v>0</v>
      </c>
      <c r="AA354" s="24" t="e">
        <f t="shared" si="18"/>
        <v>#DIV/0!</v>
      </c>
      <c r="AB354" s="2">
        <f t="shared" si="16"/>
        <v>0</v>
      </c>
    </row>
    <row r="355" spans="1:28" ht="15" customHeight="1" x14ac:dyDescent="0.25">
      <c r="A355" s="26">
        <v>45999</v>
      </c>
      <c r="B355" s="28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30"/>
      <c r="Z355" s="24">
        <f t="shared" si="17"/>
        <v>0</v>
      </c>
      <c r="AA355" s="24" t="e">
        <f t="shared" si="18"/>
        <v>#DIV/0!</v>
      </c>
      <c r="AB355" s="2">
        <f t="shared" si="16"/>
        <v>0</v>
      </c>
    </row>
    <row r="356" spans="1:28" ht="15" customHeight="1" x14ac:dyDescent="0.25">
      <c r="A356" s="26">
        <v>46000</v>
      </c>
      <c r="B356" s="28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30"/>
      <c r="Z356" s="24">
        <f t="shared" si="17"/>
        <v>0</v>
      </c>
      <c r="AA356" s="24" t="e">
        <f t="shared" si="18"/>
        <v>#DIV/0!</v>
      </c>
      <c r="AB356" s="2">
        <f t="shared" si="16"/>
        <v>0</v>
      </c>
    </row>
    <row r="357" spans="1:28" ht="15" customHeight="1" x14ac:dyDescent="0.25">
      <c r="A357" s="26">
        <v>46001</v>
      </c>
      <c r="B357" s="28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30"/>
      <c r="Z357" s="24">
        <f t="shared" si="17"/>
        <v>0</v>
      </c>
      <c r="AA357" s="24" t="e">
        <f t="shared" si="18"/>
        <v>#DIV/0!</v>
      </c>
      <c r="AB357" s="2">
        <f t="shared" ref="AB357:AB376" si="19">MAX(B357:Y357)</f>
        <v>0</v>
      </c>
    </row>
    <row r="358" spans="1:28" ht="15" customHeight="1" x14ac:dyDescent="0.25">
      <c r="A358" s="26">
        <v>46002</v>
      </c>
      <c r="B358" s="28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30"/>
      <c r="Z358" s="24">
        <f t="shared" si="17"/>
        <v>0</v>
      </c>
      <c r="AA358" s="24" t="e">
        <f t="shared" si="18"/>
        <v>#DIV/0!</v>
      </c>
      <c r="AB358" s="2">
        <f t="shared" si="19"/>
        <v>0</v>
      </c>
    </row>
    <row r="359" spans="1:28" ht="15" customHeight="1" x14ac:dyDescent="0.25">
      <c r="A359" s="26">
        <v>46003</v>
      </c>
      <c r="B359" s="28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30"/>
      <c r="Z359" s="24">
        <f t="shared" si="17"/>
        <v>0</v>
      </c>
      <c r="AA359" s="24" t="e">
        <f t="shared" si="18"/>
        <v>#DIV/0!</v>
      </c>
      <c r="AB359" s="2">
        <f t="shared" si="19"/>
        <v>0</v>
      </c>
    </row>
    <row r="360" spans="1:28" ht="15" customHeight="1" x14ac:dyDescent="0.25">
      <c r="A360" s="26">
        <v>46004</v>
      </c>
      <c r="B360" s="28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30"/>
      <c r="Z360" s="24">
        <f t="shared" si="17"/>
        <v>0</v>
      </c>
      <c r="AA360" s="24" t="e">
        <f t="shared" si="18"/>
        <v>#DIV/0!</v>
      </c>
      <c r="AB360" s="2">
        <f t="shared" si="19"/>
        <v>0</v>
      </c>
    </row>
    <row r="361" spans="1:28" ht="15" customHeight="1" x14ac:dyDescent="0.25">
      <c r="A361" s="26">
        <v>46005</v>
      </c>
      <c r="B361" s="28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30"/>
      <c r="Z361" s="24">
        <f t="shared" si="17"/>
        <v>0</v>
      </c>
      <c r="AA361" s="24" t="e">
        <f t="shared" si="18"/>
        <v>#DIV/0!</v>
      </c>
      <c r="AB361" s="2">
        <f t="shared" si="19"/>
        <v>0</v>
      </c>
    </row>
    <row r="362" spans="1:28" ht="15" customHeight="1" x14ac:dyDescent="0.25">
      <c r="A362" s="26">
        <v>46006</v>
      </c>
      <c r="B362" s="28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30"/>
      <c r="Z362" s="24">
        <f t="shared" si="17"/>
        <v>0</v>
      </c>
      <c r="AA362" s="24" t="e">
        <f t="shared" si="18"/>
        <v>#DIV/0!</v>
      </c>
      <c r="AB362" s="2">
        <f t="shared" si="19"/>
        <v>0</v>
      </c>
    </row>
    <row r="363" spans="1:28" ht="15" customHeight="1" x14ac:dyDescent="0.25">
      <c r="A363" s="26">
        <v>46007</v>
      </c>
      <c r="B363" s="28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30"/>
      <c r="Z363" s="24">
        <f t="shared" si="17"/>
        <v>0</v>
      </c>
      <c r="AA363" s="24" t="e">
        <f t="shared" si="18"/>
        <v>#DIV/0!</v>
      </c>
      <c r="AB363" s="2">
        <f t="shared" si="19"/>
        <v>0</v>
      </c>
    </row>
    <row r="364" spans="1:28" ht="15" customHeight="1" x14ac:dyDescent="0.25">
      <c r="A364" s="26">
        <v>46008</v>
      </c>
      <c r="B364" s="28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30"/>
      <c r="Z364" s="24">
        <f t="shared" si="17"/>
        <v>0</v>
      </c>
      <c r="AA364" s="24" t="e">
        <f t="shared" si="18"/>
        <v>#DIV/0!</v>
      </c>
      <c r="AB364" s="2">
        <f t="shared" si="19"/>
        <v>0</v>
      </c>
    </row>
    <row r="365" spans="1:28" ht="15" customHeight="1" x14ac:dyDescent="0.25">
      <c r="A365" s="26">
        <v>46009</v>
      </c>
      <c r="B365" s="28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30"/>
      <c r="Z365" s="24">
        <f t="shared" si="17"/>
        <v>0</v>
      </c>
      <c r="AA365" s="24" t="e">
        <f t="shared" si="18"/>
        <v>#DIV/0!</v>
      </c>
      <c r="AB365" s="2">
        <f t="shared" si="19"/>
        <v>0</v>
      </c>
    </row>
    <row r="366" spans="1:28" ht="15" customHeight="1" x14ac:dyDescent="0.25">
      <c r="A366" s="26">
        <v>46010</v>
      </c>
      <c r="B366" s="28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30"/>
      <c r="Z366" s="24">
        <f t="shared" si="17"/>
        <v>0</v>
      </c>
      <c r="AA366" s="24" t="e">
        <f t="shared" si="18"/>
        <v>#DIV/0!</v>
      </c>
      <c r="AB366" s="2">
        <f t="shared" si="19"/>
        <v>0</v>
      </c>
    </row>
    <row r="367" spans="1:28" ht="15" customHeight="1" x14ac:dyDescent="0.25">
      <c r="A367" s="26">
        <v>46011</v>
      </c>
      <c r="B367" s="28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30"/>
      <c r="Z367" s="24">
        <f t="shared" si="17"/>
        <v>0</v>
      </c>
      <c r="AA367" s="24" t="e">
        <f t="shared" si="18"/>
        <v>#DIV/0!</v>
      </c>
      <c r="AB367" s="2">
        <f t="shared" si="19"/>
        <v>0</v>
      </c>
    </row>
    <row r="368" spans="1:28" ht="15" customHeight="1" x14ac:dyDescent="0.25">
      <c r="A368" s="26">
        <v>46012</v>
      </c>
      <c r="B368" s="28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30"/>
      <c r="Z368" s="24">
        <f t="shared" si="17"/>
        <v>0</v>
      </c>
      <c r="AA368" s="24" t="e">
        <f t="shared" si="18"/>
        <v>#DIV/0!</v>
      </c>
      <c r="AB368" s="2">
        <f t="shared" si="19"/>
        <v>0</v>
      </c>
    </row>
    <row r="369" spans="1:28" ht="15" customHeight="1" x14ac:dyDescent="0.25">
      <c r="A369" s="26">
        <v>46013</v>
      </c>
      <c r="B369" s="28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30"/>
      <c r="Z369" s="24">
        <f t="shared" si="17"/>
        <v>0</v>
      </c>
      <c r="AA369" s="24" t="e">
        <f t="shared" si="18"/>
        <v>#DIV/0!</v>
      </c>
      <c r="AB369" s="2">
        <f t="shared" si="19"/>
        <v>0</v>
      </c>
    </row>
    <row r="370" spans="1:28" ht="15" customHeight="1" x14ac:dyDescent="0.25">
      <c r="A370" s="26">
        <v>46014</v>
      </c>
      <c r="B370" s="28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30"/>
      <c r="Z370" s="24">
        <f t="shared" si="17"/>
        <v>0</v>
      </c>
      <c r="AA370" s="24" t="e">
        <f t="shared" si="18"/>
        <v>#DIV/0!</v>
      </c>
      <c r="AB370" s="2">
        <f t="shared" si="19"/>
        <v>0</v>
      </c>
    </row>
    <row r="371" spans="1:28" ht="15" customHeight="1" x14ac:dyDescent="0.25">
      <c r="A371" s="26">
        <v>46015</v>
      </c>
      <c r="B371" s="28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30"/>
      <c r="Z371" s="24">
        <f t="shared" si="17"/>
        <v>0</v>
      </c>
      <c r="AA371" s="24" t="e">
        <f t="shared" si="18"/>
        <v>#DIV/0!</v>
      </c>
      <c r="AB371" s="2">
        <f t="shared" si="19"/>
        <v>0</v>
      </c>
    </row>
    <row r="372" spans="1:28" ht="15" customHeight="1" x14ac:dyDescent="0.25">
      <c r="A372" s="26">
        <v>46016</v>
      </c>
      <c r="B372" s="28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30"/>
      <c r="Z372" s="24">
        <f t="shared" si="17"/>
        <v>0</v>
      </c>
      <c r="AA372" s="24" t="e">
        <f t="shared" si="18"/>
        <v>#DIV/0!</v>
      </c>
      <c r="AB372" s="2">
        <f t="shared" si="19"/>
        <v>0</v>
      </c>
    </row>
    <row r="373" spans="1:28" ht="15" customHeight="1" x14ac:dyDescent="0.25">
      <c r="A373" s="26">
        <v>46017</v>
      </c>
      <c r="B373" s="28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30"/>
      <c r="Z373" s="24">
        <f t="shared" si="17"/>
        <v>0</v>
      </c>
      <c r="AA373" s="24" t="e">
        <f t="shared" si="18"/>
        <v>#DIV/0!</v>
      </c>
      <c r="AB373" s="2">
        <f t="shared" si="19"/>
        <v>0</v>
      </c>
    </row>
    <row r="374" spans="1:28" ht="15" customHeight="1" x14ac:dyDescent="0.25">
      <c r="A374" s="26">
        <v>46018</v>
      </c>
      <c r="B374" s="28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30"/>
      <c r="Z374" s="24">
        <f t="shared" si="17"/>
        <v>0</v>
      </c>
      <c r="AA374" s="24" t="e">
        <f t="shared" si="18"/>
        <v>#DIV/0!</v>
      </c>
      <c r="AB374" s="2">
        <f t="shared" si="19"/>
        <v>0</v>
      </c>
    </row>
    <row r="375" spans="1:28" ht="15" customHeight="1" x14ac:dyDescent="0.25">
      <c r="A375" s="26">
        <v>46019</v>
      </c>
      <c r="B375" s="28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30"/>
      <c r="Z375" s="24">
        <f t="shared" si="17"/>
        <v>0</v>
      </c>
      <c r="AA375" s="24" t="e">
        <f t="shared" si="18"/>
        <v>#DIV/0!</v>
      </c>
      <c r="AB375" s="2">
        <f t="shared" si="19"/>
        <v>0</v>
      </c>
    </row>
    <row r="376" spans="1:28" ht="15" customHeight="1" x14ac:dyDescent="0.25">
      <c r="A376" s="26">
        <v>46020</v>
      </c>
      <c r="B376" s="28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30"/>
      <c r="Z376" s="24">
        <f t="shared" si="17"/>
        <v>0</v>
      </c>
      <c r="AA376" s="24" t="e">
        <f t="shared" si="18"/>
        <v>#DIV/0!</v>
      </c>
      <c r="AB376" s="2">
        <f t="shared" si="19"/>
        <v>0</v>
      </c>
    </row>
    <row r="377" spans="1:28" ht="15" customHeight="1" x14ac:dyDescent="0.25">
      <c r="A377" s="51">
        <v>46021</v>
      </c>
      <c r="B377" s="52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4"/>
      <c r="Z377" s="55">
        <f t="shared" si="17"/>
        <v>0</v>
      </c>
      <c r="AA377" s="55" t="e">
        <f t="shared" si="18"/>
        <v>#DIV/0!</v>
      </c>
    </row>
    <row r="378" spans="1:28" ht="15" customHeight="1" x14ac:dyDescent="0.25">
      <c r="A378" s="51">
        <v>46022</v>
      </c>
      <c r="B378" s="56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8"/>
      <c r="Z378" s="59">
        <f t="shared" si="17"/>
        <v>0</v>
      </c>
      <c r="AA378" s="59" t="e">
        <f t="shared" si="18"/>
        <v>#DIV/0!</v>
      </c>
    </row>
  </sheetData>
  <mergeCells count="1">
    <mergeCell ref="A4:AA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38C6-3AE6-446F-AE32-1B6E58BF1291}">
  <dimension ref="A1:V186"/>
  <sheetViews>
    <sheetView tabSelected="1" workbookViewId="0">
      <selection activeCell="B4" sqref="B4:M11"/>
    </sheetView>
  </sheetViews>
  <sheetFormatPr defaultRowHeight="15" x14ac:dyDescent="0.25"/>
  <cols>
    <col min="1" max="1" width="12" customWidth="1"/>
    <col min="2" max="13" width="9.140625" style="146"/>
    <col min="15" max="15" width="9.140625" style="64"/>
    <col min="17" max="17" width="13.140625" style="64" customWidth="1"/>
    <col min="18" max="18" width="13" style="64" customWidth="1"/>
    <col min="22" max="22" width="11.5703125" bestFit="1" customWidth="1"/>
    <col min="257" max="257" width="12" customWidth="1"/>
    <col min="273" max="273" width="13.140625" customWidth="1"/>
    <col min="274" max="274" width="13" customWidth="1"/>
    <col min="278" max="278" width="11.5703125" bestFit="1" customWidth="1"/>
    <col min="513" max="513" width="12" customWidth="1"/>
    <col min="529" max="529" width="13.140625" customWidth="1"/>
    <col min="530" max="530" width="13" customWidth="1"/>
    <col min="534" max="534" width="11.5703125" bestFit="1" customWidth="1"/>
    <col min="769" max="769" width="12" customWidth="1"/>
    <col min="785" max="785" width="13.140625" customWidth="1"/>
    <col min="786" max="786" width="13" customWidth="1"/>
    <col min="790" max="790" width="11.5703125" bestFit="1" customWidth="1"/>
    <col min="1025" max="1025" width="12" customWidth="1"/>
    <col min="1041" max="1041" width="13.140625" customWidth="1"/>
    <col min="1042" max="1042" width="13" customWidth="1"/>
    <col min="1046" max="1046" width="11.5703125" bestFit="1" customWidth="1"/>
    <col min="1281" max="1281" width="12" customWidth="1"/>
    <col min="1297" max="1297" width="13.140625" customWidth="1"/>
    <col min="1298" max="1298" width="13" customWidth="1"/>
    <col min="1302" max="1302" width="11.5703125" bestFit="1" customWidth="1"/>
    <col min="1537" max="1537" width="12" customWidth="1"/>
    <col min="1553" max="1553" width="13.140625" customWidth="1"/>
    <col min="1554" max="1554" width="13" customWidth="1"/>
    <col min="1558" max="1558" width="11.5703125" bestFit="1" customWidth="1"/>
    <col min="1793" max="1793" width="12" customWidth="1"/>
    <col min="1809" max="1809" width="13.140625" customWidth="1"/>
    <col min="1810" max="1810" width="13" customWidth="1"/>
    <col min="1814" max="1814" width="11.5703125" bestFit="1" customWidth="1"/>
    <col min="2049" max="2049" width="12" customWidth="1"/>
    <col min="2065" max="2065" width="13.140625" customWidth="1"/>
    <col min="2066" max="2066" width="13" customWidth="1"/>
    <col min="2070" max="2070" width="11.5703125" bestFit="1" customWidth="1"/>
    <col min="2305" max="2305" width="12" customWidth="1"/>
    <col min="2321" max="2321" width="13.140625" customWidth="1"/>
    <col min="2322" max="2322" width="13" customWidth="1"/>
    <col min="2326" max="2326" width="11.5703125" bestFit="1" customWidth="1"/>
    <col min="2561" max="2561" width="12" customWidth="1"/>
    <col min="2577" max="2577" width="13.140625" customWidth="1"/>
    <col min="2578" max="2578" width="13" customWidth="1"/>
    <col min="2582" max="2582" width="11.5703125" bestFit="1" customWidth="1"/>
    <col min="2817" max="2817" width="12" customWidth="1"/>
    <col min="2833" max="2833" width="13.140625" customWidth="1"/>
    <col min="2834" max="2834" width="13" customWidth="1"/>
    <col min="2838" max="2838" width="11.5703125" bestFit="1" customWidth="1"/>
    <col min="3073" max="3073" width="12" customWidth="1"/>
    <col min="3089" max="3089" width="13.140625" customWidth="1"/>
    <col min="3090" max="3090" width="13" customWidth="1"/>
    <col min="3094" max="3094" width="11.5703125" bestFit="1" customWidth="1"/>
    <col min="3329" max="3329" width="12" customWidth="1"/>
    <col min="3345" max="3345" width="13.140625" customWidth="1"/>
    <col min="3346" max="3346" width="13" customWidth="1"/>
    <col min="3350" max="3350" width="11.5703125" bestFit="1" customWidth="1"/>
    <col min="3585" max="3585" width="12" customWidth="1"/>
    <col min="3601" max="3601" width="13.140625" customWidth="1"/>
    <col min="3602" max="3602" width="13" customWidth="1"/>
    <col min="3606" max="3606" width="11.5703125" bestFit="1" customWidth="1"/>
    <col min="3841" max="3841" width="12" customWidth="1"/>
    <col min="3857" max="3857" width="13.140625" customWidth="1"/>
    <col min="3858" max="3858" width="13" customWidth="1"/>
    <col min="3862" max="3862" width="11.5703125" bestFit="1" customWidth="1"/>
    <col min="4097" max="4097" width="12" customWidth="1"/>
    <col min="4113" max="4113" width="13.140625" customWidth="1"/>
    <col min="4114" max="4114" width="13" customWidth="1"/>
    <col min="4118" max="4118" width="11.5703125" bestFit="1" customWidth="1"/>
    <col min="4353" max="4353" width="12" customWidth="1"/>
    <col min="4369" max="4369" width="13.140625" customWidth="1"/>
    <col min="4370" max="4370" width="13" customWidth="1"/>
    <col min="4374" max="4374" width="11.5703125" bestFit="1" customWidth="1"/>
    <col min="4609" max="4609" width="12" customWidth="1"/>
    <col min="4625" max="4625" width="13.140625" customWidth="1"/>
    <col min="4626" max="4626" width="13" customWidth="1"/>
    <col min="4630" max="4630" width="11.5703125" bestFit="1" customWidth="1"/>
    <col min="4865" max="4865" width="12" customWidth="1"/>
    <col min="4881" max="4881" width="13.140625" customWidth="1"/>
    <col min="4882" max="4882" width="13" customWidth="1"/>
    <col min="4886" max="4886" width="11.5703125" bestFit="1" customWidth="1"/>
    <col min="5121" max="5121" width="12" customWidth="1"/>
    <col min="5137" max="5137" width="13.140625" customWidth="1"/>
    <col min="5138" max="5138" width="13" customWidth="1"/>
    <col min="5142" max="5142" width="11.5703125" bestFit="1" customWidth="1"/>
    <col min="5377" max="5377" width="12" customWidth="1"/>
    <col min="5393" max="5393" width="13.140625" customWidth="1"/>
    <col min="5394" max="5394" width="13" customWidth="1"/>
    <col min="5398" max="5398" width="11.5703125" bestFit="1" customWidth="1"/>
    <col min="5633" max="5633" width="12" customWidth="1"/>
    <col min="5649" max="5649" width="13.140625" customWidth="1"/>
    <col min="5650" max="5650" width="13" customWidth="1"/>
    <col min="5654" max="5654" width="11.5703125" bestFit="1" customWidth="1"/>
    <col min="5889" max="5889" width="12" customWidth="1"/>
    <col min="5905" max="5905" width="13.140625" customWidth="1"/>
    <col min="5906" max="5906" width="13" customWidth="1"/>
    <col min="5910" max="5910" width="11.5703125" bestFit="1" customWidth="1"/>
    <col min="6145" max="6145" width="12" customWidth="1"/>
    <col min="6161" max="6161" width="13.140625" customWidth="1"/>
    <col min="6162" max="6162" width="13" customWidth="1"/>
    <col min="6166" max="6166" width="11.5703125" bestFit="1" customWidth="1"/>
    <col min="6401" max="6401" width="12" customWidth="1"/>
    <col min="6417" max="6417" width="13.140625" customWidth="1"/>
    <col min="6418" max="6418" width="13" customWidth="1"/>
    <col min="6422" max="6422" width="11.5703125" bestFit="1" customWidth="1"/>
    <col min="6657" max="6657" width="12" customWidth="1"/>
    <col min="6673" max="6673" width="13.140625" customWidth="1"/>
    <col min="6674" max="6674" width="13" customWidth="1"/>
    <col min="6678" max="6678" width="11.5703125" bestFit="1" customWidth="1"/>
    <col min="6913" max="6913" width="12" customWidth="1"/>
    <col min="6929" max="6929" width="13.140625" customWidth="1"/>
    <col min="6930" max="6930" width="13" customWidth="1"/>
    <col min="6934" max="6934" width="11.5703125" bestFit="1" customWidth="1"/>
    <col min="7169" max="7169" width="12" customWidth="1"/>
    <col min="7185" max="7185" width="13.140625" customWidth="1"/>
    <col min="7186" max="7186" width="13" customWidth="1"/>
    <col min="7190" max="7190" width="11.5703125" bestFit="1" customWidth="1"/>
    <col min="7425" max="7425" width="12" customWidth="1"/>
    <col min="7441" max="7441" width="13.140625" customWidth="1"/>
    <col min="7442" max="7442" width="13" customWidth="1"/>
    <col min="7446" max="7446" width="11.5703125" bestFit="1" customWidth="1"/>
    <col min="7681" max="7681" width="12" customWidth="1"/>
    <col min="7697" max="7697" width="13.140625" customWidth="1"/>
    <col min="7698" max="7698" width="13" customWidth="1"/>
    <col min="7702" max="7702" width="11.5703125" bestFit="1" customWidth="1"/>
    <col min="7937" max="7937" width="12" customWidth="1"/>
    <col min="7953" max="7953" width="13.140625" customWidth="1"/>
    <col min="7954" max="7954" width="13" customWidth="1"/>
    <col min="7958" max="7958" width="11.5703125" bestFit="1" customWidth="1"/>
    <col min="8193" max="8193" width="12" customWidth="1"/>
    <col min="8209" max="8209" width="13.140625" customWidth="1"/>
    <col min="8210" max="8210" width="13" customWidth="1"/>
    <col min="8214" max="8214" width="11.5703125" bestFit="1" customWidth="1"/>
    <col min="8449" max="8449" width="12" customWidth="1"/>
    <col min="8465" max="8465" width="13.140625" customWidth="1"/>
    <col min="8466" max="8466" width="13" customWidth="1"/>
    <col min="8470" max="8470" width="11.5703125" bestFit="1" customWidth="1"/>
    <col min="8705" max="8705" width="12" customWidth="1"/>
    <col min="8721" max="8721" width="13.140625" customWidth="1"/>
    <col min="8722" max="8722" width="13" customWidth="1"/>
    <col min="8726" max="8726" width="11.5703125" bestFit="1" customWidth="1"/>
    <col min="8961" max="8961" width="12" customWidth="1"/>
    <col min="8977" max="8977" width="13.140625" customWidth="1"/>
    <col min="8978" max="8978" width="13" customWidth="1"/>
    <col min="8982" max="8982" width="11.5703125" bestFit="1" customWidth="1"/>
    <col min="9217" max="9217" width="12" customWidth="1"/>
    <col min="9233" max="9233" width="13.140625" customWidth="1"/>
    <col min="9234" max="9234" width="13" customWidth="1"/>
    <col min="9238" max="9238" width="11.5703125" bestFit="1" customWidth="1"/>
    <col min="9473" max="9473" width="12" customWidth="1"/>
    <col min="9489" max="9489" width="13.140625" customWidth="1"/>
    <col min="9490" max="9490" width="13" customWidth="1"/>
    <col min="9494" max="9494" width="11.5703125" bestFit="1" customWidth="1"/>
    <col min="9729" max="9729" width="12" customWidth="1"/>
    <col min="9745" max="9745" width="13.140625" customWidth="1"/>
    <col min="9746" max="9746" width="13" customWidth="1"/>
    <col min="9750" max="9750" width="11.5703125" bestFit="1" customWidth="1"/>
    <col min="9985" max="9985" width="12" customWidth="1"/>
    <col min="10001" max="10001" width="13.140625" customWidth="1"/>
    <col min="10002" max="10002" width="13" customWidth="1"/>
    <col min="10006" max="10006" width="11.5703125" bestFit="1" customWidth="1"/>
    <col min="10241" max="10241" width="12" customWidth="1"/>
    <col min="10257" max="10257" width="13.140625" customWidth="1"/>
    <col min="10258" max="10258" width="13" customWidth="1"/>
    <col min="10262" max="10262" width="11.5703125" bestFit="1" customWidth="1"/>
    <col min="10497" max="10497" width="12" customWidth="1"/>
    <col min="10513" max="10513" width="13.140625" customWidth="1"/>
    <col min="10514" max="10514" width="13" customWidth="1"/>
    <col min="10518" max="10518" width="11.5703125" bestFit="1" customWidth="1"/>
    <col min="10753" max="10753" width="12" customWidth="1"/>
    <col min="10769" max="10769" width="13.140625" customWidth="1"/>
    <col min="10770" max="10770" width="13" customWidth="1"/>
    <col min="10774" max="10774" width="11.5703125" bestFit="1" customWidth="1"/>
    <col min="11009" max="11009" width="12" customWidth="1"/>
    <col min="11025" max="11025" width="13.140625" customWidth="1"/>
    <col min="11026" max="11026" width="13" customWidth="1"/>
    <col min="11030" max="11030" width="11.5703125" bestFit="1" customWidth="1"/>
    <col min="11265" max="11265" width="12" customWidth="1"/>
    <col min="11281" max="11281" width="13.140625" customWidth="1"/>
    <col min="11282" max="11282" width="13" customWidth="1"/>
    <col min="11286" max="11286" width="11.5703125" bestFit="1" customWidth="1"/>
    <col min="11521" max="11521" width="12" customWidth="1"/>
    <col min="11537" max="11537" width="13.140625" customWidth="1"/>
    <col min="11538" max="11538" width="13" customWidth="1"/>
    <col min="11542" max="11542" width="11.5703125" bestFit="1" customWidth="1"/>
    <col min="11777" max="11777" width="12" customWidth="1"/>
    <col min="11793" max="11793" width="13.140625" customWidth="1"/>
    <col min="11794" max="11794" width="13" customWidth="1"/>
    <col min="11798" max="11798" width="11.5703125" bestFit="1" customWidth="1"/>
    <col min="12033" max="12033" width="12" customWidth="1"/>
    <col min="12049" max="12049" width="13.140625" customWidth="1"/>
    <col min="12050" max="12050" width="13" customWidth="1"/>
    <col min="12054" max="12054" width="11.5703125" bestFit="1" customWidth="1"/>
    <col min="12289" max="12289" width="12" customWidth="1"/>
    <col min="12305" max="12305" width="13.140625" customWidth="1"/>
    <col min="12306" max="12306" width="13" customWidth="1"/>
    <col min="12310" max="12310" width="11.5703125" bestFit="1" customWidth="1"/>
    <col min="12545" max="12545" width="12" customWidth="1"/>
    <col min="12561" max="12561" width="13.140625" customWidth="1"/>
    <col min="12562" max="12562" width="13" customWidth="1"/>
    <col min="12566" max="12566" width="11.5703125" bestFit="1" customWidth="1"/>
    <col min="12801" max="12801" width="12" customWidth="1"/>
    <col min="12817" max="12817" width="13.140625" customWidth="1"/>
    <col min="12818" max="12818" width="13" customWidth="1"/>
    <col min="12822" max="12822" width="11.5703125" bestFit="1" customWidth="1"/>
    <col min="13057" max="13057" width="12" customWidth="1"/>
    <col min="13073" max="13073" width="13.140625" customWidth="1"/>
    <col min="13074" max="13074" width="13" customWidth="1"/>
    <col min="13078" max="13078" width="11.5703125" bestFit="1" customWidth="1"/>
    <col min="13313" max="13313" width="12" customWidth="1"/>
    <col min="13329" max="13329" width="13.140625" customWidth="1"/>
    <col min="13330" max="13330" width="13" customWidth="1"/>
    <col min="13334" max="13334" width="11.5703125" bestFit="1" customWidth="1"/>
    <col min="13569" max="13569" width="12" customWidth="1"/>
    <col min="13585" max="13585" width="13.140625" customWidth="1"/>
    <col min="13586" max="13586" width="13" customWidth="1"/>
    <col min="13590" max="13590" width="11.5703125" bestFit="1" customWidth="1"/>
    <col min="13825" max="13825" width="12" customWidth="1"/>
    <col min="13841" max="13841" width="13.140625" customWidth="1"/>
    <col min="13842" max="13842" width="13" customWidth="1"/>
    <col min="13846" max="13846" width="11.5703125" bestFit="1" customWidth="1"/>
    <col min="14081" max="14081" width="12" customWidth="1"/>
    <col min="14097" max="14097" width="13.140625" customWidth="1"/>
    <col min="14098" max="14098" width="13" customWidth="1"/>
    <col min="14102" max="14102" width="11.5703125" bestFit="1" customWidth="1"/>
    <col min="14337" max="14337" width="12" customWidth="1"/>
    <col min="14353" max="14353" width="13.140625" customWidth="1"/>
    <col min="14354" max="14354" width="13" customWidth="1"/>
    <col min="14358" max="14358" width="11.5703125" bestFit="1" customWidth="1"/>
    <col min="14593" max="14593" width="12" customWidth="1"/>
    <col min="14609" max="14609" width="13.140625" customWidth="1"/>
    <col min="14610" max="14610" width="13" customWidth="1"/>
    <col min="14614" max="14614" width="11.5703125" bestFit="1" customWidth="1"/>
    <col min="14849" max="14849" width="12" customWidth="1"/>
    <col min="14865" max="14865" width="13.140625" customWidth="1"/>
    <col min="14866" max="14866" width="13" customWidth="1"/>
    <col min="14870" max="14870" width="11.5703125" bestFit="1" customWidth="1"/>
    <col min="15105" max="15105" width="12" customWidth="1"/>
    <col min="15121" max="15121" width="13.140625" customWidth="1"/>
    <col min="15122" max="15122" width="13" customWidth="1"/>
    <col min="15126" max="15126" width="11.5703125" bestFit="1" customWidth="1"/>
    <col min="15361" max="15361" width="12" customWidth="1"/>
    <col min="15377" max="15377" width="13.140625" customWidth="1"/>
    <col min="15378" max="15378" width="13" customWidth="1"/>
    <col min="15382" max="15382" width="11.5703125" bestFit="1" customWidth="1"/>
    <col min="15617" max="15617" width="12" customWidth="1"/>
    <col min="15633" max="15633" width="13.140625" customWidth="1"/>
    <col min="15634" max="15634" width="13" customWidth="1"/>
    <col min="15638" max="15638" width="11.5703125" bestFit="1" customWidth="1"/>
    <col min="15873" max="15873" width="12" customWidth="1"/>
    <col min="15889" max="15889" width="13.140625" customWidth="1"/>
    <col min="15890" max="15890" width="13" customWidth="1"/>
    <col min="15894" max="15894" width="11.5703125" bestFit="1" customWidth="1"/>
    <col min="16129" max="16129" width="12" customWidth="1"/>
    <col min="16145" max="16145" width="13.140625" customWidth="1"/>
    <col min="16146" max="16146" width="13" customWidth="1"/>
    <col min="16150" max="16150" width="11.5703125" bestFit="1" customWidth="1"/>
  </cols>
  <sheetData>
    <row r="1" spans="1:22" ht="18.75" x14ac:dyDescent="0.25">
      <c r="A1" s="150" t="s">
        <v>12</v>
      </c>
      <c r="B1" s="151"/>
      <c r="C1" s="61"/>
      <c r="D1" s="154" t="s">
        <v>13</v>
      </c>
      <c r="E1" s="155"/>
      <c r="F1" s="156"/>
      <c r="G1" s="62"/>
      <c r="H1" s="157" t="s">
        <v>14</v>
      </c>
      <c r="I1" s="157"/>
      <c r="J1" s="157"/>
      <c r="K1" s="61"/>
      <c r="L1" s="157" t="s">
        <v>15</v>
      </c>
      <c r="M1" s="157"/>
      <c r="N1" s="157"/>
      <c r="O1" s="157"/>
      <c r="P1" s="63"/>
      <c r="S1" s="65"/>
      <c r="T1" s="66"/>
    </row>
    <row r="2" spans="1:22" ht="15.75" customHeight="1" thickBot="1" x14ac:dyDescent="0.3">
      <c r="A2" s="152"/>
      <c r="B2" s="153"/>
      <c r="C2" s="61"/>
      <c r="D2" s="154"/>
      <c r="E2" s="155" t="s">
        <v>16</v>
      </c>
      <c r="F2" s="156"/>
      <c r="G2" s="61"/>
      <c r="H2" s="157"/>
      <c r="I2" s="157"/>
      <c r="J2" s="157"/>
      <c r="K2" s="61"/>
      <c r="L2" s="61"/>
      <c r="M2" s="61"/>
      <c r="N2" s="63"/>
      <c r="O2" s="67"/>
      <c r="P2" s="63"/>
      <c r="S2" s="65"/>
      <c r="T2" s="68"/>
    </row>
    <row r="3" spans="1:22" ht="16.5" thickTop="1" thickBot="1" x14ac:dyDescent="0.3">
      <c r="A3" s="69" t="s">
        <v>17</v>
      </c>
      <c r="B3" s="70">
        <v>1</v>
      </c>
      <c r="C3" s="71">
        <v>3</v>
      </c>
      <c r="D3" s="71">
        <v>5</v>
      </c>
      <c r="E3" s="71">
        <v>7</v>
      </c>
      <c r="F3" s="71">
        <v>9</v>
      </c>
      <c r="G3" s="71">
        <v>11</v>
      </c>
      <c r="H3" s="71">
        <v>13</v>
      </c>
      <c r="I3" s="71">
        <v>15</v>
      </c>
      <c r="J3" s="71">
        <v>17</v>
      </c>
      <c r="K3" s="71">
        <v>19</v>
      </c>
      <c r="L3" s="71">
        <v>21</v>
      </c>
      <c r="M3" s="72">
        <v>23</v>
      </c>
      <c r="N3" s="73" t="s">
        <v>18</v>
      </c>
      <c r="O3" s="74" t="s">
        <v>19</v>
      </c>
      <c r="P3" s="75" t="s">
        <v>20</v>
      </c>
      <c r="Q3" s="76" t="s">
        <v>21</v>
      </c>
      <c r="R3" s="76" t="s">
        <v>22</v>
      </c>
      <c r="S3" s="77" t="s">
        <v>23</v>
      </c>
      <c r="T3" s="77" t="s">
        <v>24</v>
      </c>
      <c r="U3" s="78" t="s">
        <v>25</v>
      </c>
      <c r="V3" s="79" t="s">
        <v>26</v>
      </c>
    </row>
    <row r="4" spans="1:22" ht="16.5" thickTop="1" x14ac:dyDescent="0.25">
      <c r="A4" s="80">
        <v>45658</v>
      </c>
      <c r="B4" s="81">
        <v>4.8</v>
      </c>
      <c r="C4" s="81">
        <v>5.0999999999999996</v>
      </c>
      <c r="D4" s="81">
        <v>5.4</v>
      </c>
      <c r="E4" s="81">
        <v>4.3</v>
      </c>
      <c r="F4" s="81">
        <v>2.2999999999999998</v>
      </c>
      <c r="G4" s="81">
        <v>2.1</v>
      </c>
      <c r="H4" s="81">
        <v>2.4</v>
      </c>
      <c r="I4" s="81">
        <v>2.8</v>
      </c>
      <c r="J4" s="81">
        <v>3.2</v>
      </c>
      <c r="K4" s="81">
        <v>3.8</v>
      </c>
      <c r="L4" s="81">
        <v>3.4</v>
      </c>
      <c r="M4" s="82">
        <v>3.1</v>
      </c>
      <c r="N4" s="83">
        <f>ROUND(AVERAGE(B4:M4),1)</f>
        <v>3.6</v>
      </c>
      <c r="O4" s="84">
        <f>ROUND(MAX(B4:M4),1)</f>
        <v>5.4</v>
      </c>
      <c r="P4" s="85">
        <f>ROUND(MIN(B4:M4),1)</f>
        <v>2.1</v>
      </c>
      <c r="Q4" s="84">
        <v>0.3</v>
      </c>
      <c r="R4" s="84">
        <f>O4-Q4</f>
        <v>5.1000000000000005</v>
      </c>
      <c r="S4" s="86"/>
      <c r="T4" s="86"/>
      <c r="U4" s="87"/>
      <c r="V4" s="88">
        <v>45628</v>
      </c>
    </row>
    <row r="5" spans="1:22" ht="15.75" x14ac:dyDescent="0.25">
      <c r="A5" s="80">
        <v>45659</v>
      </c>
      <c r="B5" s="89">
        <v>2.8</v>
      </c>
      <c r="C5" s="89">
        <v>3.5</v>
      </c>
      <c r="D5" s="89">
        <v>4.3</v>
      </c>
      <c r="E5" s="89">
        <v>3.2</v>
      </c>
      <c r="F5" s="89">
        <v>2.5</v>
      </c>
      <c r="G5" s="89">
        <v>1.8</v>
      </c>
      <c r="H5" s="89">
        <v>1.1000000000000001</v>
      </c>
      <c r="I5" s="89">
        <v>1.4</v>
      </c>
      <c r="J5" s="89">
        <v>2.1</v>
      </c>
      <c r="K5" s="89">
        <v>2.4</v>
      </c>
      <c r="L5" s="89">
        <v>2.7</v>
      </c>
      <c r="M5" s="90">
        <v>2.2000000000000002</v>
      </c>
      <c r="N5" s="91">
        <f t="shared" ref="N5:N68" si="0">ROUND(AVERAGE(B5:M5),1)</f>
        <v>2.5</v>
      </c>
      <c r="O5" s="92">
        <f t="shared" ref="O5:O68" si="1">ROUND(MAX(B5:M5),1)</f>
        <v>4.3</v>
      </c>
      <c r="P5" s="93">
        <f t="shared" ref="P5:P68" si="2">ROUND(MIN(B5:M5),1)</f>
        <v>1.1000000000000001</v>
      </c>
      <c r="Q5" s="94">
        <v>0.1</v>
      </c>
      <c r="R5" s="94">
        <f>O5-Q5</f>
        <v>4.2</v>
      </c>
      <c r="S5" s="95"/>
      <c r="T5" s="95"/>
      <c r="U5" s="96"/>
      <c r="V5" s="88">
        <v>45629</v>
      </c>
    </row>
    <row r="6" spans="1:22" ht="15.75" x14ac:dyDescent="0.25">
      <c r="A6" s="80">
        <v>45660</v>
      </c>
      <c r="B6" s="97">
        <v>1.9</v>
      </c>
      <c r="C6" s="97">
        <v>2.2999999999999998</v>
      </c>
      <c r="D6" s="97">
        <v>2.6</v>
      </c>
      <c r="E6" s="97">
        <v>2</v>
      </c>
      <c r="F6" s="97">
        <v>1.7</v>
      </c>
      <c r="G6" s="97">
        <v>1.4</v>
      </c>
      <c r="H6" s="97">
        <v>1.2</v>
      </c>
      <c r="I6" s="97">
        <v>0.8</v>
      </c>
      <c r="J6" s="97">
        <v>1.5</v>
      </c>
      <c r="K6" s="97">
        <v>2</v>
      </c>
      <c r="L6" s="97">
        <v>2.4</v>
      </c>
      <c r="M6" s="98">
        <v>1.8</v>
      </c>
      <c r="N6" s="91">
        <f t="shared" si="0"/>
        <v>1.8</v>
      </c>
      <c r="O6" s="92">
        <f t="shared" si="1"/>
        <v>2.6</v>
      </c>
      <c r="P6" s="99">
        <f t="shared" si="2"/>
        <v>0.8</v>
      </c>
      <c r="Q6" s="100">
        <v>0.3</v>
      </c>
      <c r="R6" s="94">
        <f t="shared" ref="R6:R36" si="3">O6-Q6</f>
        <v>2.3000000000000003</v>
      </c>
      <c r="S6" s="95"/>
      <c r="T6" s="95"/>
      <c r="U6" s="96"/>
      <c r="V6" s="88">
        <v>45630</v>
      </c>
    </row>
    <row r="7" spans="1:22" ht="15.75" x14ac:dyDescent="0.25">
      <c r="A7" s="80">
        <v>45661</v>
      </c>
      <c r="B7" s="97">
        <v>1.5</v>
      </c>
      <c r="C7" s="97">
        <v>1.4</v>
      </c>
      <c r="D7" s="97">
        <v>1.3</v>
      </c>
      <c r="E7" s="97">
        <v>1.2</v>
      </c>
      <c r="F7" s="97">
        <v>1</v>
      </c>
      <c r="G7" s="97">
        <v>1</v>
      </c>
      <c r="H7" s="97">
        <v>0.9</v>
      </c>
      <c r="I7" s="97">
        <v>0.4</v>
      </c>
      <c r="J7" s="97">
        <v>1.2</v>
      </c>
      <c r="K7" s="97">
        <v>2</v>
      </c>
      <c r="L7" s="97">
        <v>2.2999999999999998</v>
      </c>
      <c r="M7" s="98">
        <v>1.7</v>
      </c>
      <c r="N7" s="91">
        <f t="shared" si="0"/>
        <v>1.3</v>
      </c>
      <c r="O7" s="92">
        <f t="shared" si="1"/>
        <v>2.2999999999999998</v>
      </c>
      <c r="P7" s="99">
        <f t="shared" si="2"/>
        <v>0.4</v>
      </c>
      <c r="Q7" s="94">
        <v>0.6</v>
      </c>
      <c r="R7" s="94">
        <f t="shared" si="3"/>
        <v>1.6999999999999997</v>
      </c>
      <c r="S7" s="95"/>
      <c r="T7" s="95"/>
      <c r="U7" s="96"/>
      <c r="V7" s="88">
        <v>45631</v>
      </c>
    </row>
    <row r="8" spans="1:22" ht="15.75" x14ac:dyDescent="0.25">
      <c r="A8" s="80">
        <v>45662</v>
      </c>
      <c r="B8" s="97">
        <v>1</v>
      </c>
      <c r="C8" s="97">
        <v>0.6</v>
      </c>
      <c r="D8" s="97">
        <v>0.9</v>
      </c>
      <c r="E8" s="97">
        <v>1.2</v>
      </c>
      <c r="F8" s="97">
        <v>1</v>
      </c>
      <c r="G8" s="97">
        <v>0.8</v>
      </c>
      <c r="H8" s="97">
        <v>0.7</v>
      </c>
      <c r="I8" s="97">
        <v>0.5</v>
      </c>
      <c r="J8" s="97">
        <v>0.8</v>
      </c>
      <c r="K8" s="97">
        <v>1.2</v>
      </c>
      <c r="L8" s="97">
        <v>1.4</v>
      </c>
      <c r="M8" s="98">
        <v>1.5</v>
      </c>
      <c r="N8" s="91">
        <f t="shared" si="0"/>
        <v>1</v>
      </c>
      <c r="O8" s="92">
        <f t="shared" si="1"/>
        <v>1.5</v>
      </c>
      <c r="P8" s="99">
        <f t="shared" si="2"/>
        <v>0.5</v>
      </c>
      <c r="Q8" s="94">
        <v>1</v>
      </c>
      <c r="R8" s="94">
        <f t="shared" si="3"/>
        <v>0.5</v>
      </c>
      <c r="S8" s="95"/>
      <c r="T8" s="95"/>
      <c r="U8" s="96"/>
      <c r="V8" s="88">
        <v>45632</v>
      </c>
    </row>
    <row r="9" spans="1:22" ht="15.75" x14ac:dyDescent="0.25">
      <c r="A9" s="80">
        <v>45663</v>
      </c>
      <c r="B9" s="97">
        <v>0.8</v>
      </c>
      <c r="C9" s="97">
        <v>0.3</v>
      </c>
      <c r="D9" s="97">
        <v>0.4</v>
      </c>
      <c r="E9" s="97">
        <v>0.5</v>
      </c>
      <c r="F9" s="97">
        <v>1</v>
      </c>
      <c r="G9" s="97">
        <v>0.7</v>
      </c>
      <c r="H9" s="97">
        <v>0.5</v>
      </c>
      <c r="I9" s="97">
        <v>0.3</v>
      </c>
      <c r="J9" s="97">
        <v>0.5</v>
      </c>
      <c r="K9" s="97">
        <v>0.8</v>
      </c>
      <c r="L9" s="97">
        <v>1.1000000000000001</v>
      </c>
      <c r="M9" s="98">
        <v>1.4</v>
      </c>
      <c r="N9" s="91">
        <f t="shared" si="0"/>
        <v>0.7</v>
      </c>
      <c r="O9" s="92">
        <f t="shared" si="1"/>
        <v>1.4</v>
      </c>
      <c r="P9" s="99">
        <f t="shared" si="2"/>
        <v>0.3</v>
      </c>
      <c r="Q9" s="94">
        <v>1.4</v>
      </c>
      <c r="R9" s="94">
        <f t="shared" si="3"/>
        <v>0</v>
      </c>
      <c r="S9" s="95"/>
      <c r="T9" s="95"/>
      <c r="U9" s="96"/>
      <c r="V9" s="88">
        <v>45633</v>
      </c>
    </row>
    <row r="10" spans="1:22" ht="15.75" x14ac:dyDescent="0.25">
      <c r="A10" s="80">
        <v>45664</v>
      </c>
      <c r="B10" s="97">
        <v>1</v>
      </c>
      <c r="C10" s="97">
        <v>0.6</v>
      </c>
      <c r="D10" s="97">
        <v>0.3</v>
      </c>
      <c r="E10" s="97">
        <v>0.4</v>
      </c>
      <c r="F10" s="97">
        <v>0.5</v>
      </c>
      <c r="G10" s="97">
        <v>0.9</v>
      </c>
      <c r="H10" s="97">
        <v>0.7</v>
      </c>
      <c r="I10" s="97">
        <v>0.5</v>
      </c>
      <c r="J10" s="97">
        <v>0.3</v>
      </c>
      <c r="K10" s="97">
        <v>0.7</v>
      </c>
      <c r="L10" s="97">
        <v>0.9</v>
      </c>
      <c r="M10" s="98">
        <v>1.2</v>
      </c>
      <c r="N10" s="91">
        <f t="shared" si="0"/>
        <v>0.7</v>
      </c>
      <c r="O10" s="92">
        <f t="shared" si="1"/>
        <v>1.2</v>
      </c>
      <c r="P10" s="99">
        <f t="shared" si="2"/>
        <v>0.3</v>
      </c>
      <c r="Q10" s="94">
        <v>2.1</v>
      </c>
      <c r="R10" s="94">
        <f t="shared" si="3"/>
        <v>-0.90000000000000013</v>
      </c>
      <c r="S10" s="95"/>
      <c r="T10" s="95"/>
      <c r="U10" s="96"/>
      <c r="V10" s="88">
        <v>45634</v>
      </c>
    </row>
    <row r="11" spans="1:22" ht="15.75" x14ac:dyDescent="0.25">
      <c r="A11" s="80">
        <v>45665</v>
      </c>
      <c r="B11" s="97">
        <v>1</v>
      </c>
      <c r="C11" s="97">
        <v>0.8</v>
      </c>
      <c r="D11" s="97">
        <v>0.6</v>
      </c>
      <c r="E11" s="97">
        <v>0.4</v>
      </c>
      <c r="F11" s="97">
        <v>0.6</v>
      </c>
      <c r="G11" s="97">
        <v>0.8</v>
      </c>
      <c r="H11" s="97">
        <v>1</v>
      </c>
      <c r="I11" s="97">
        <v>0.7</v>
      </c>
      <c r="J11" s="97">
        <v>0.5</v>
      </c>
      <c r="K11" s="97">
        <v>0.3</v>
      </c>
      <c r="L11" s="97">
        <v>0.9</v>
      </c>
      <c r="M11" s="98">
        <v>1.2</v>
      </c>
      <c r="N11" s="91">
        <f t="shared" si="0"/>
        <v>0.7</v>
      </c>
      <c r="O11" s="92">
        <f t="shared" si="1"/>
        <v>1.2</v>
      </c>
      <c r="P11" s="99">
        <f t="shared" si="2"/>
        <v>0.3</v>
      </c>
      <c r="Q11" s="94">
        <v>5</v>
      </c>
      <c r="R11" s="94">
        <f t="shared" si="3"/>
        <v>-3.8</v>
      </c>
      <c r="S11" s="95"/>
      <c r="T11" s="95"/>
      <c r="U11" s="96"/>
      <c r="V11" s="88">
        <v>45635</v>
      </c>
    </row>
    <row r="12" spans="1:22" ht="15.75" x14ac:dyDescent="0.25">
      <c r="A12" s="80">
        <v>45666</v>
      </c>
      <c r="B12" s="97">
        <v>1.7</v>
      </c>
      <c r="C12" s="97">
        <v>1.5</v>
      </c>
      <c r="D12" s="97">
        <v>1.2</v>
      </c>
      <c r="E12" s="97">
        <v>1</v>
      </c>
      <c r="F12" s="97">
        <v>1.2</v>
      </c>
      <c r="G12" s="97">
        <v>1.3</v>
      </c>
      <c r="H12" s="97">
        <v>1.4</v>
      </c>
      <c r="I12" s="97">
        <v>1.5</v>
      </c>
      <c r="J12" s="97">
        <v>0.7</v>
      </c>
      <c r="K12" s="97">
        <v>0.5</v>
      </c>
      <c r="L12" s="97">
        <v>0.9</v>
      </c>
      <c r="M12" s="98">
        <v>1.4</v>
      </c>
      <c r="N12" s="91">
        <f t="shared" si="0"/>
        <v>1.2</v>
      </c>
      <c r="O12" s="92">
        <f t="shared" si="1"/>
        <v>1.7</v>
      </c>
      <c r="P12" s="99">
        <f t="shared" si="2"/>
        <v>0.5</v>
      </c>
      <c r="Q12" s="94">
        <v>7.1</v>
      </c>
      <c r="R12" s="94">
        <f t="shared" si="3"/>
        <v>-5.3999999999999995</v>
      </c>
      <c r="S12" s="95"/>
      <c r="T12" s="95"/>
      <c r="U12" s="96"/>
      <c r="V12" s="88">
        <v>45636</v>
      </c>
    </row>
    <row r="13" spans="1:22" ht="15.75" x14ac:dyDescent="0.25">
      <c r="A13" s="80">
        <v>45667</v>
      </c>
      <c r="B13" s="97">
        <v>1.9</v>
      </c>
      <c r="C13" s="97">
        <v>2.2000000000000002</v>
      </c>
      <c r="D13" s="97">
        <v>1.9</v>
      </c>
      <c r="E13" s="97">
        <v>1.7</v>
      </c>
      <c r="F13" s="97">
        <v>1.5</v>
      </c>
      <c r="G13" s="97">
        <v>2.1</v>
      </c>
      <c r="H13" s="97">
        <v>3</v>
      </c>
      <c r="I13" s="97">
        <v>3.6</v>
      </c>
      <c r="J13" s="97">
        <v>4.2</v>
      </c>
      <c r="K13" s="97">
        <v>3.7</v>
      </c>
      <c r="L13" s="97">
        <v>3.3</v>
      </c>
      <c r="M13" s="98">
        <v>3.7</v>
      </c>
      <c r="N13" s="91">
        <f t="shared" si="0"/>
        <v>2.7</v>
      </c>
      <c r="O13" s="92">
        <f t="shared" si="1"/>
        <v>4.2</v>
      </c>
      <c r="P13" s="99">
        <f t="shared" si="2"/>
        <v>1.5</v>
      </c>
      <c r="Q13" s="94">
        <v>6.4</v>
      </c>
      <c r="R13" s="94">
        <f t="shared" si="3"/>
        <v>-2.2000000000000002</v>
      </c>
      <c r="S13" s="95"/>
      <c r="T13" s="95"/>
      <c r="U13" s="96"/>
      <c r="V13" s="88">
        <v>45637</v>
      </c>
    </row>
    <row r="14" spans="1:22" ht="15.75" x14ac:dyDescent="0.25">
      <c r="A14" s="80">
        <v>45668</v>
      </c>
      <c r="B14" s="97">
        <v>4</v>
      </c>
      <c r="C14" s="97">
        <v>4.4000000000000004</v>
      </c>
      <c r="D14" s="97">
        <v>3.9</v>
      </c>
      <c r="E14" s="97">
        <v>3.5</v>
      </c>
      <c r="F14" s="97">
        <v>2.7</v>
      </c>
      <c r="G14" s="97">
        <v>2</v>
      </c>
      <c r="H14" s="97">
        <v>2.8</v>
      </c>
      <c r="I14" s="97">
        <v>3.5</v>
      </c>
      <c r="J14" s="97">
        <v>5</v>
      </c>
      <c r="K14" s="97">
        <v>4.4000000000000004</v>
      </c>
      <c r="L14" s="97">
        <v>3.9</v>
      </c>
      <c r="M14" s="98">
        <v>4.5</v>
      </c>
      <c r="N14" s="91">
        <f t="shared" si="0"/>
        <v>3.7</v>
      </c>
      <c r="O14" s="92">
        <f t="shared" si="1"/>
        <v>5</v>
      </c>
      <c r="P14" s="99">
        <f t="shared" si="2"/>
        <v>2</v>
      </c>
      <c r="Q14" s="94">
        <v>6</v>
      </c>
      <c r="R14" s="94">
        <f t="shared" si="3"/>
        <v>-1</v>
      </c>
      <c r="S14" s="95"/>
      <c r="T14" s="95"/>
      <c r="U14" s="96"/>
      <c r="V14" s="88">
        <v>45638</v>
      </c>
    </row>
    <row r="15" spans="1:22" ht="15.75" x14ac:dyDescent="0.25">
      <c r="A15" s="80">
        <v>45669</v>
      </c>
      <c r="B15" s="97">
        <v>4.8</v>
      </c>
      <c r="C15" s="97">
        <v>5.3</v>
      </c>
      <c r="D15" s="97">
        <v>4.5999999999999996</v>
      </c>
      <c r="E15" s="97">
        <v>3.8</v>
      </c>
      <c r="F15" s="97">
        <v>3</v>
      </c>
      <c r="G15" s="97">
        <v>2.5</v>
      </c>
      <c r="H15" s="97">
        <v>3.5</v>
      </c>
      <c r="I15" s="97">
        <v>4.8</v>
      </c>
      <c r="J15" s="97">
        <v>5.4</v>
      </c>
      <c r="K15" s="97">
        <v>4.9000000000000004</v>
      </c>
      <c r="L15" s="97">
        <v>4.3</v>
      </c>
      <c r="M15" s="98">
        <v>4.5999999999999996</v>
      </c>
      <c r="N15" s="91">
        <f t="shared" si="0"/>
        <v>4.3</v>
      </c>
      <c r="O15" s="92">
        <f t="shared" si="1"/>
        <v>5.4</v>
      </c>
      <c r="P15" s="99">
        <f t="shared" si="2"/>
        <v>2.5</v>
      </c>
      <c r="Q15" s="94">
        <v>5.5</v>
      </c>
      <c r="R15" s="94">
        <f t="shared" si="3"/>
        <v>-9.9999999999999645E-2</v>
      </c>
      <c r="S15" s="95"/>
      <c r="T15" s="95"/>
      <c r="U15" s="96"/>
      <c r="V15" s="88">
        <v>45639</v>
      </c>
    </row>
    <row r="16" spans="1:22" ht="15.75" x14ac:dyDescent="0.25">
      <c r="A16" s="80">
        <v>45670</v>
      </c>
      <c r="B16" s="97">
        <v>4.9000000000000004</v>
      </c>
      <c r="C16" s="97">
        <v>5.5</v>
      </c>
      <c r="D16" s="97">
        <v>4.9000000000000004</v>
      </c>
      <c r="E16" s="97">
        <v>4.3</v>
      </c>
      <c r="F16" s="97">
        <v>3.5</v>
      </c>
      <c r="G16" s="97">
        <v>2.9</v>
      </c>
      <c r="H16" s="97">
        <v>2.5</v>
      </c>
      <c r="I16" s="97">
        <v>3.2</v>
      </c>
      <c r="J16" s="97">
        <v>3.8</v>
      </c>
      <c r="K16" s="97">
        <v>5.3</v>
      </c>
      <c r="L16" s="97">
        <v>4.5999999999999996</v>
      </c>
      <c r="M16" s="97">
        <v>4</v>
      </c>
      <c r="N16" s="91">
        <f t="shared" si="0"/>
        <v>4.0999999999999996</v>
      </c>
      <c r="O16" s="92">
        <f t="shared" si="1"/>
        <v>5.5</v>
      </c>
      <c r="P16" s="99">
        <f t="shared" si="2"/>
        <v>2.5</v>
      </c>
      <c r="Q16" s="94">
        <v>4.2</v>
      </c>
      <c r="R16" s="94">
        <f t="shared" si="3"/>
        <v>1.2999999999999998</v>
      </c>
      <c r="S16" s="95"/>
      <c r="T16" s="95"/>
      <c r="U16" s="96"/>
      <c r="V16" s="88">
        <v>45640</v>
      </c>
    </row>
    <row r="17" spans="1:22" ht="15.75" x14ac:dyDescent="0.25">
      <c r="A17" s="80">
        <v>45671</v>
      </c>
      <c r="B17" s="97">
        <v>4.7</v>
      </c>
      <c r="C17" s="97">
        <v>5.2</v>
      </c>
      <c r="D17" s="97">
        <v>4.4000000000000004</v>
      </c>
      <c r="E17" s="97">
        <v>3.7</v>
      </c>
      <c r="F17" s="97">
        <v>2</v>
      </c>
      <c r="G17" s="97">
        <v>1.6</v>
      </c>
      <c r="H17" s="97">
        <v>1.3</v>
      </c>
      <c r="I17" s="97">
        <v>1.9</v>
      </c>
      <c r="J17" s="97">
        <v>3</v>
      </c>
      <c r="K17" s="97">
        <v>4.2</v>
      </c>
      <c r="L17" s="97">
        <v>3.5</v>
      </c>
      <c r="M17" s="97">
        <v>3.1</v>
      </c>
      <c r="N17" s="91">
        <f t="shared" si="0"/>
        <v>3.2</v>
      </c>
      <c r="O17" s="92">
        <f t="shared" si="1"/>
        <v>5.2</v>
      </c>
      <c r="P17" s="99">
        <f t="shared" si="2"/>
        <v>1.3</v>
      </c>
      <c r="Q17" s="94">
        <v>3.5</v>
      </c>
      <c r="R17" s="94">
        <f t="shared" si="3"/>
        <v>1.7000000000000002</v>
      </c>
      <c r="S17" s="95"/>
      <c r="T17" s="95"/>
      <c r="U17" s="96"/>
      <c r="V17" s="88">
        <v>45641</v>
      </c>
    </row>
    <row r="18" spans="1:22" ht="15.75" x14ac:dyDescent="0.25">
      <c r="A18" s="80">
        <v>45672</v>
      </c>
      <c r="B18" s="97">
        <v>3.1</v>
      </c>
      <c r="C18" s="97">
        <v>3.8</v>
      </c>
      <c r="D18" s="97">
        <v>4.2</v>
      </c>
      <c r="E18" s="97">
        <v>3.6</v>
      </c>
      <c r="F18" s="97">
        <v>2.9</v>
      </c>
      <c r="G18" s="97">
        <v>2</v>
      </c>
      <c r="H18" s="97">
        <v>1.2</v>
      </c>
      <c r="I18" s="97">
        <v>1.7</v>
      </c>
      <c r="J18" s="97">
        <v>3</v>
      </c>
      <c r="K18" s="97">
        <v>3.3</v>
      </c>
      <c r="L18" s="97">
        <v>4.2</v>
      </c>
      <c r="M18" s="97">
        <v>2.2999999999999998</v>
      </c>
      <c r="N18" s="91">
        <f t="shared" si="0"/>
        <v>2.9</v>
      </c>
      <c r="O18" s="92">
        <f t="shared" si="1"/>
        <v>4.2</v>
      </c>
      <c r="P18" s="99">
        <f t="shared" si="2"/>
        <v>1.2</v>
      </c>
      <c r="Q18" s="94">
        <v>2.9</v>
      </c>
      <c r="R18" s="94">
        <f t="shared" si="3"/>
        <v>1.3000000000000003</v>
      </c>
      <c r="S18" s="95"/>
      <c r="T18" s="95"/>
      <c r="U18" s="96"/>
      <c r="V18" s="88">
        <v>45642</v>
      </c>
    </row>
    <row r="19" spans="1:22" ht="15.75" x14ac:dyDescent="0.25">
      <c r="A19" s="80">
        <v>45673</v>
      </c>
      <c r="B19" s="97">
        <v>1.5</v>
      </c>
      <c r="C19" s="97">
        <v>1.8</v>
      </c>
      <c r="D19" s="97">
        <v>3.2</v>
      </c>
      <c r="E19" s="97">
        <v>4.5</v>
      </c>
      <c r="F19" s="97">
        <v>3.5</v>
      </c>
      <c r="G19" s="97">
        <v>2.8</v>
      </c>
      <c r="H19" s="97">
        <v>1.7</v>
      </c>
      <c r="I19" s="97">
        <v>2.1</v>
      </c>
      <c r="J19" s="97">
        <v>3</v>
      </c>
      <c r="K19" s="97">
        <v>3.3</v>
      </c>
      <c r="L19" s="97">
        <v>3.5</v>
      </c>
      <c r="M19" s="98">
        <v>2.8</v>
      </c>
      <c r="N19" s="91">
        <f t="shared" si="0"/>
        <v>2.8</v>
      </c>
      <c r="O19" s="92">
        <f>ROUND(MAX(B19:M19),1)</f>
        <v>4.5</v>
      </c>
      <c r="P19" s="99">
        <f>ROUND(MIN(B19:M19),1)</f>
        <v>1.5</v>
      </c>
      <c r="Q19" s="94">
        <v>2.6</v>
      </c>
      <c r="R19" s="94">
        <f t="shared" si="3"/>
        <v>1.9</v>
      </c>
      <c r="S19" s="95"/>
      <c r="T19" s="95"/>
      <c r="U19" s="96"/>
      <c r="V19" s="88">
        <v>45643</v>
      </c>
    </row>
    <row r="20" spans="1:22" ht="15.75" x14ac:dyDescent="0.25">
      <c r="A20" s="80">
        <v>45674</v>
      </c>
      <c r="B20" s="97">
        <v>1.6</v>
      </c>
      <c r="C20" s="97">
        <v>1.9</v>
      </c>
      <c r="D20" s="97">
        <v>2.2000000000000002</v>
      </c>
      <c r="E20" s="97">
        <v>2.5</v>
      </c>
      <c r="F20" s="97">
        <v>2.1</v>
      </c>
      <c r="G20" s="97">
        <v>1.7</v>
      </c>
      <c r="H20" s="97">
        <v>1.3</v>
      </c>
      <c r="I20" s="97">
        <v>0.9</v>
      </c>
      <c r="J20" s="97">
        <v>2</v>
      </c>
      <c r="K20" s="97">
        <v>3.1</v>
      </c>
      <c r="L20" s="97">
        <v>3.7</v>
      </c>
      <c r="M20" s="98">
        <v>3</v>
      </c>
      <c r="N20" s="91">
        <f t="shared" si="0"/>
        <v>2.2000000000000002</v>
      </c>
      <c r="O20" s="92">
        <f>ROUND(MAX(B20:M20),1)</f>
        <v>3.7</v>
      </c>
      <c r="P20" s="99">
        <f>ROUND(MIN(B20:M20),1)</f>
        <v>0.9</v>
      </c>
      <c r="Q20" s="94">
        <v>2.1</v>
      </c>
      <c r="R20" s="94">
        <f t="shared" si="3"/>
        <v>1.6</v>
      </c>
      <c r="S20" s="95"/>
      <c r="T20" s="95"/>
      <c r="U20" s="96"/>
      <c r="V20" s="88">
        <v>45644</v>
      </c>
    </row>
    <row r="21" spans="1:22" ht="15.75" x14ac:dyDescent="0.25">
      <c r="A21" s="80">
        <v>45675</v>
      </c>
      <c r="B21" s="97">
        <v>2.6</v>
      </c>
      <c r="C21" s="97">
        <v>1.4</v>
      </c>
      <c r="D21" s="97">
        <v>2.1</v>
      </c>
      <c r="E21" s="97">
        <v>2.4</v>
      </c>
      <c r="F21" s="97">
        <v>2</v>
      </c>
      <c r="G21" s="97">
        <v>1.5</v>
      </c>
      <c r="H21" s="97">
        <v>1.2</v>
      </c>
      <c r="I21" s="97">
        <v>0.8</v>
      </c>
      <c r="J21" s="97">
        <v>2.4</v>
      </c>
      <c r="K21" s="97">
        <v>2.7</v>
      </c>
      <c r="L21" s="97">
        <v>3</v>
      </c>
      <c r="M21" s="97">
        <v>2.1</v>
      </c>
      <c r="N21" s="91">
        <f>ROUND(AVERAGE(B21:M21),1)</f>
        <v>2</v>
      </c>
      <c r="O21" s="92">
        <f>ROUND(MAX(B21:M21),1)</f>
        <v>3</v>
      </c>
      <c r="P21" s="99">
        <f>ROUND(MIN(B21:M21),1)</f>
        <v>0.8</v>
      </c>
      <c r="Q21" s="94">
        <v>1.5</v>
      </c>
      <c r="R21" s="94">
        <f t="shared" si="3"/>
        <v>1.5</v>
      </c>
      <c r="S21" s="95"/>
      <c r="T21" s="95"/>
      <c r="U21" s="96"/>
      <c r="V21" s="88">
        <v>45645</v>
      </c>
    </row>
    <row r="22" spans="1:22" ht="15.75" x14ac:dyDescent="0.25">
      <c r="A22" s="80">
        <v>45676</v>
      </c>
      <c r="B22" s="101">
        <v>1.4</v>
      </c>
      <c r="C22" s="101">
        <v>0.9</v>
      </c>
      <c r="D22" s="101">
        <v>1.2</v>
      </c>
      <c r="E22" s="101">
        <v>1.5</v>
      </c>
      <c r="F22" s="101">
        <v>1.8</v>
      </c>
      <c r="G22" s="101">
        <v>1.5</v>
      </c>
      <c r="H22" s="101">
        <v>1.1000000000000001</v>
      </c>
      <c r="I22" s="101">
        <v>0.7</v>
      </c>
      <c r="J22" s="101">
        <v>1.4</v>
      </c>
      <c r="K22" s="101">
        <v>2.7</v>
      </c>
      <c r="L22" s="101">
        <v>2.9</v>
      </c>
      <c r="M22" s="102">
        <v>2</v>
      </c>
      <c r="N22" s="91">
        <f t="shared" si="0"/>
        <v>1.6</v>
      </c>
      <c r="O22" s="92">
        <f>ROUND(MAX(B22:M22),1)</f>
        <v>2.9</v>
      </c>
      <c r="P22" s="99">
        <f>ROUND(MIN(B22:M22),1)</f>
        <v>0.7</v>
      </c>
      <c r="Q22" s="94">
        <v>1.1000000000000001</v>
      </c>
      <c r="R22" s="94">
        <f t="shared" si="3"/>
        <v>1.7999999999999998</v>
      </c>
      <c r="S22" s="95"/>
      <c r="T22" s="95"/>
      <c r="U22" s="96"/>
      <c r="V22" s="88">
        <v>45646</v>
      </c>
    </row>
    <row r="23" spans="1:22" ht="15.75" x14ac:dyDescent="0.25">
      <c r="A23" s="80">
        <v>45677</v>
      </c>
      <c r="B23" s="97">
        <v>1.2</v>
      </c>
      <c r="C23" s="97">
        <v>0.6</v>
      </c>
      <c r="D23" s="97">
        <v>0.8</v>
      </c>
      <c r="E23" s="97">
        <v>1.1000000000000001</v>
      </c>
      <c r="F23" s="97">
        <v>1.3</v>
      </c>
      <c r="G23" s="97">
        <v>1.1000000000000001</v>
      </c>
      <c r="H23" s="97">
        <v>0.9</v>
      </c>
      <c r="I23" s="97">
        <v>0.7</v>
      </c>
      <c r="J23" s="97">
        <v>0.9</v>
      </c>
      <c r="K23" s="97">
        <v>1.5</v>
      </c>
      <c r="L23" s="97">
        <v>1.8</v>
      </c>
      <c r="M23" s="97">
        <v>2.1</v>
      </c>
      <c r="N23" s="91">
        <f t="shared" si="0"/>
        <v>1.2</v>
      </c>
      <c r="O23" s="92">
        <f>ROUND(MAX(B23:M23),1)</f>
        <v>2.1</v>
      </c>
      <c r="P23" s="99">
        <f>ROUND(MIN(B23:M23),1)</f>
        <v>0.6</v>
      </c>
      <c r="Q23" s="94">
        <v>1.4</v>
      </c>
      <c r="R23" s="94">
        <f t="shared" si="3"/>
        <v>0.70000000000000018</v>
      </c>
      <c r="S23" s="95"/>
      <c r="T23" s="95"/>
      <c r="U23" s="96"/>
      <c r="V23" s="88">
        <v>45647</v>
      </c>
    </row>
    <row r="24" spans="1:22" ht="15.75" x14ac:dyDescent="0.25">
      <c r="A24" s="80">
        <v>45678</v>
      </c>
      <c r="B24" s="89">
        <v>1.5</v>
      </c>
      <c r="C24" s="89">
        <v>1</v>
      </c>
      <c r="D24" s="89">
        <v>0.7</v>
      </c>
      <c r="E24" s="89">
        <v>0.9</v>
      </c>
      <c r="F24" s="89">
        <v>1.1000000000000001</v>
      </c>
      <c r="G24" s="89">
        <v>1.5</v>
      </c>
      <c r="H24" s="89">
        <v>1.2</v>
      </c>
      <c r="I24" s="89">
        <v>0.7</v>
      </c>
      <c r="J24" s="89">
        <v>0.4</v>
      </c>
      <c r="K24" s="89">
        <v>0.8</v>
      </c>
      <c r="L24" s="89">
        <v>1.3</v>
      </c>
      <c r="M24" s="90">
        <v>1.7</v>
      </c>
      <c r="N24" s="91">
        <f t="shared" si="0"/>
        <v>1.1000000000000001</v>
      </c>
      <c r="O24" s="92">
        <f t="shared" si="1"/>
        <v>1.7</v>
      </c>
      <c r="P24" s="99">
        <f t="shared" si="2"/>
        <v>0.4</v>
      </c>
      <c r="Q24" s="94">
        <v>2.4</v>
      </c>
      <c r="R24" s="94">
        <f t="shared" si="3"/>
        <v>-0.7</v>
      </c>
      <c r="S24" s="95"/>
      <c r="T24" s="95"/>
      <c r="U24" s="96"/>
      <c r="V24" s="88">
        <v>45648</v>
      </c>
    </row>
    <row r="25" spans="1:22" ht="15.75" x14ac:dyDescent="0.25">
      <c r="A25" s="80">
        <v>45679</v>
      </c>
      <c r="B25" s="97">
        <v>1.2</v>
      </c>
      <c r="C25" s="97">
        <v>0.9</v>
      </c>
      <c r="D25" s="97">
        <v>0.5</v>
      </c>
      <c r="E25" s="97">
        <v>0.7</v>
      </c>
      <c r="F25" s="97">
        <v>1.1000000000000001</v>
      </c>
      <c r="G25" s="97">
        <v>1.4</v>
      </c>
      <c r="H25" s="97">
        <v>1</v>
      </c>
      <c r="I25" s="97">
        <v>0.6</v>
      </c>
      <c r="J25" s="97">
        <v>0.4</v>
      </c>
      <c r="K25" s="97">
        <v>0.6</v>
      </c>
      <c r="L25" s="97">
        <v>0.9</v>
      </c>
      <c r="M25" s="98">
        <v>1.3</v>
      </c>
      <c r="N25" s="91">
        <f t="shared" si="0"/>
        <v>0.9</v>
      </c>
      <c r="O25" s="92">
        <f t="shared" si="1"/>
        <v>1.4</v>
      </c>
      <c r="P25" s="99">
        <f t="shared" si="2"/>
        <v>0.4</v>
      </c>
      <c r="Q25" s="94">
        <v>3.7</v>
      </c>
      <c r="R25" s="94">
        <f t="shared" si="3"/>
        <v>-2.3000000000000003</v>
      </c>
      <c r="S25" s="95"/>
      <c r="T25" s="95"/>
      <c r="U25" s="96"/>
      <c r="V25" s="88">
        <v>45649</v>
      </c>
    </row>
    <row r="26" spans="1:22" ht="15.75" x14ac:dyDescent="0.25">
      <c r="A26" s="80">
        <v>45680</v>
      </c>
      <c r="B26" s="97">
        <v>1.5</v>
      </c>
      <c r="C26" s="97">
        <v>1.1000000000000001</v>
      </c>
      <c r="D26" s="97">
        <v>0.9</v>
      </c>
      <c r="E26" s="97">
        <v>0.7</v>
      </c>
      <c r="F26" s="97">
        <v>0.9</v>
      </c>
      <c r="G26" s="97">
        <v>1.1000000000000001</v>
      </c>
      <c r="H26" s="97">
        <v>1.5</v>
      </c>
      <c r="I26" s="97">
        <v>1.1000000000000001</v>
      </c>
      <c r="J26" s="97">
        <v>0.8</v>
      </c>
      <c r="K26" s="97">
        <v>0.6</v>
      </c>
      <c r="L26" s="97">
        <v>1.1000000000000001</v>
      </c>
      <c r="M26" s="97">
        <v>1.9</v>
      </c>
      <c r="N26" s="91">
        <f t="shared" si="0"/>
        <v>1.1000000000000001</v>
      </c>
      <c r="O26" s="92">
        <f>ROUND(MAX(B26:M26),1)</f>
        <v>1.9</v>
      </c>
      <c r="P26" s="99">
        <f>ROUND(MIN(B26:M26),1)</f>
        <v>0.6</v>
      </c>
      <c r="Q26" s="94">
        <v>4.4000000000000004</v>
      </c>
      <c r="R26" s="94">
        <f t="shared" si="3"/>
        <v>-2.5000000000000004</v>
      </c>
      <c r="S26" s="95"/>
      <c r="T26" s="95"/>
      <c r="U26" s="96"/>
      <c r="V26" s="88">
        <v>45650</v>
      </c>
    </row>
    <row r="27" spans="1:22" ht="15.75" x14ac:dyDescent="0.25">
      <c r="A27" s="80">
        <v>45681</v>
      </c>
      <c r="B27" s="97">
        <v>2.5</v>
      </c>
      <c r="C27" s="97">
        <v>2.2000000000000002</v>
      </c>
      <c r="D27" s="97">
        <v>1.9</v>
      </c>
      <c r="E27" s="97">
        <v>1.6</v>
      </c>
      <c r="F27" s="97">
        <v>1.3</v>
      </c>
      <c r="G27" s="97">
        <v>1.5</v>
      </c>
      <c r="H27" s="97">
        <v>1.7</v>
      </c>
      <c r="I27" s="97">
        <v>1.9</v>
      </c>
      <c r="J27" s="97">
        <v>1.6</v>
      </c>
      <c r="K27" s="97">
        <v>1.4</v>
      </c>
      <c r="L27" s="97">
        <v>1.6</v>
      </c>
      <c r="M27" s="98">
        <v>2.1</v>
      </c>
      <c r="N27" s="91">
        <f t="shared" si="0"/>
        <v>1.8</v>
      </c>
      <c r="O27" s="92">
        <f t="shared" si="1"/>
        <v>2.5</v>
      </c>
      <c r="P27" s="99">
        <f t="shared" si="2"/>
        <v>1.3</v>
      </c>
      <c r="Q27" s="94">
        <v>4.8</v>
      </c>
      <c r="R27" s="94">
        <f t="shared" si="3"/>
        <v>-2.2999999999999998</v>
      </c>
      <c r="S27" s="95"/>
      <c r="T27" s="95"/>
      <c r="U27" s="96"/>
      <c r="V27" s="88">
        <v>45651</v>
      </c>
    </row>
    <row r="28" spans="1:22" ht="15.75" x14ac:dyDescent="0.25">
      <c r="A28" s="80">
        <v>45682</v>
      </c>
      <c r="B28" s="97">
        <v>2.7</v>
      </c>
      <c r="C28" s="97">
        <v>2.4</v>
      </c>
      <c r="D28" s="97">
        <v>2.1</v>
      </c>
      <c r="E28" s="97">
        <v>1.8</v>
      </c>
      <c r="F28" s="97">
        <v>1.5</v>
      </c>
      <c r="G28" s="97">
        <v>2.1</v>
      </c>
      <c r="H28" s="97">
        <v>2.9</v>
      </c>
      <c r="I28" s="97">
        <v>3.7</v>
      </c>
      <c r="J28" s="97">
        <v>4.0999999999999996</v>
      </c>
      <c r="K28" s="97">
        <v>4</v>
      </c>
      <c r="L28" s="97">
        <v>3.8</v>
      </c>
      <c r="M28" s="98">
        <v>4</v>
      </c>
      <c r="N28" s="91">
        <f t="shared" si="0"/>
        <v>2.9</v>
      </c>
      <c r="O28" s="92">
        <f t="shared" si="1"/>
        <v>4.0999999999999996</v>
      </c>
      <c r="P28" s="99">
        <f t="shared" si="2"/>
        <v>1.5</v>
      </c>
      <c r="Q28" s="94">
        <v>5.0999999999999996</v>
      </c>
      <c r="R28" s="94">
        <f t="shared" si="3"/>
        <v>-1</v>
      </c>
      <c r="S28" s="95"/>
      <c r="T28" s="95"/>
      <c r="U28" s="96"/>
      <c r="V28" s="88">
        <v>45652</v>
      </c>
    </row>
    <row r="29" spans="1:22" ht="15.75" x14ac:dyDescent="0.25">
      <c r="A29" s="80">
        <v>45683</v>
      </c>
      <c r="B29" s="97">
        <v>4.4000000000000004</v>
      </c>
      <c r="C29" s="97">
        <v>4.7</v>
      </c>
      <c r="D29" s="97">
        <v>4.3</v>
      </c>
      <c r="E29" s="97">
        <v>3.9</v>
      </c>
      <c r="F29" s="97">
        <v>2.8</v>
      </c>
      <c r="G29" s="97">
        <v>3.6</v>
      </c>
      <c r="H29" s="97">
        <v>4.2</v>
      </c>
      <c r="I29" s="97">
        <v>6.8</v>
      </c>
      <c r="J29" s="97">
        <v>7.9</v>
      </c>
      <c r="K29" s="97">
        <v>8.6</v>
      </c>
      <c r="L29" s="97">
        <v>8.3000000000000007</v>
      </c>
      <c r="M29" s="98">
        <v>8.1</v>
      </c>
      <c r="N29" s="91">
        <f t="shared" si="0"/>
        <v>5.6</v>
      </c>
      <c r="O29" s="92">
        <f t="shared" si="1"/>
        <v>8.6</v>
      </c>
      <c r="P29" s="99">
        <f t="shared" si="2"/>
        <v>2.8</v>
      </c>
      <c r="Q29" s="94">
        <v>5</v>
      </c>
      <c r="R29" s="94">
        <f t="shared" si="3"/>
        <v>3.5999999999999996</v>
      </c>
      <c r="S29" s="95"/>
      <c r="T29" s="95"/>
      <c r="U29" s="96"/>
      <c r="V29" s="88">
        <v>45653</v>
      </c>
    </row>
    <row r="30" spans="1:22" ht="15.75" x14ac:dyDescent="0.25">
      <c r="A30" s="80">
        <v>45684</v>
      </c>
      <c r="B30" s="97">
        <v>8.3000000000000007</v>
      </c>
      <c r="C30" s="97">
        <v>8.5</v>
      </c>
      <c r="D30" s="97">
        <v>7.4</v>
      </c>
      <c r="E30" s="97">
        <v>6.6</v>
      </c>
      <c r="F30" s="97">
        <v>5.0999999999999996</v>
      </c>
      <c r="G30" s="97">
        <v>4.3</v>
      </c>
      <c r="H30" s="97">
        <v>5.2</v>
      </c>
      <c r="I30" s="97">
        <v>6.6</v>
      </c>
      <c r="J30" s="97">
        <v>7.2</v>
      </c>
      <c r="K30" s="97">
        <v>9.4</v>
      </c>
      <c r="L30" s="97">
        <v>9.1</v>
      </c>
      <c r="M30" s="98">
        <v>8.3000000000000007</v>
      </c>
      <c r="N30" s="91">
        <f t="shared" si="0"/>
        <v>7.2</v>
      </c>
      <c r="O30" s="92">
        <f t="shared" si="1"/>
        <v>9.4</v>
      </c>
      <c r="P30" s="99">
        <f t="shared" si="2"/>
        <v>4.3</v>
      </c>
      <c r="Q30" s="94">
        <v>4.5999999999999996</v>
      </c>
      <c r="R30" s="94">
        <f t="shared" si="3"/>
        <v>4.8000000000000007</v>
      </c>
      <c r="S30" s="95"/>
      <c r="T30" s="95"/>
      <c r="U30" s="96"/>
      <c r="V30" s="88">
        <v>45654</v>
      </c>
    </row>
    <row r="31" spans="1:22" ht="15.75" x14ac:dyDescent="0.25">
      <c r="A31" s="80">
        <v>45685</v>
      </c>
      <c r="B31" s="97">
        <v>9.1999999999999993</v>
      </c>
      <c r="C31" s="97">
        <v>9.6999999999999993</v>
      </c>
      <c r="D31" s="97">
        <v>9.1</v>
      </c>
      <c r="E31" s="97">
        <v>8.6</v>
      </c>
      <c r="F31" s="97">
        <v>7</v>
      </c>
      <c r="G31" s="97">
        <v>6.3</v>
      </c>
      <c r="H31" s="97">
        <v>7.8</v>
      </c>
      <c r="I31" s="97">
        <v>9</v>
      </c>
      <c r="J31" s="97">
        <v>9.3000000000000007</v>
      </c>
      <c r="K31" s="97">
        <v>9.6999999999999993</v>
      </c>
      <c r="L31" s="97">
        <v>9</v>
      </c>
      <c r="M31" s="98">
        <v>8.1</v>
      </c>
      <c r="N31" s="91">
        <f t="shared" si="0"/>
        <v>8.6</v>
      </c>
      <c r="O31" s="92">
        <f t="shared" si="1"/>
        <v>9.6999999999999993</v>
      </c>
      <c r="P31" s="99">
        <f t="shared" si="2"/>
        <v>6.3</v>
      </c>
      <c r="Q31" s="94">
        <v>4.5999999999999996</v>
      </c>
      <c r="R31" s="94">
        <f t="shared" si="3"/>
        <v>5.0999999999999996</v>
      </c>
      <c r="S31" s="95"/>
      <c r="T31" s="95"/>
      <c r="U31" s="96"/>
      <c r="V31" s="88">
        <v>45655</v>
      </c>
    </row>
    <row r="32" spans="1:22" ht="15.75" x14ac:dyDescent="0.25">
      <c r="A32" s="80">
        <v>45686</v>
      </c>
      <c r="B32" s="97">
        <v>8.5</v>
      </c>
      <c r="C32" s="97">
        <v>8.9</v>
      </c>
      <c r="D32" s="97">
        <v>9.4</v>
      </c>
      <c r="E32" s="97">
        <v>8.4</v>
      </c>
      <c r="F32" s="97">
        <v>6.2</v>
      </c>
      <c r="G32" s="97">
        <v>5.6</v>
      </c>
      <c r="H32" s="97">
        <v>5</v>
      </c>
      <c r="I32" s="97">
        <v>6.5</v>
      </c>
      <c r="J32" s="97">
        <v>8.5</v>
      </c>
      <c r="K32" s="97">
        <v>9.1</v>
      </c>
      <c r="L32" s="97">
        <v>8.1999999999999993</v>
      </c>
      <c r="M32" s="98">
        <v>7.5</v>
      </c>
      <c r="N32" s="91">
        <f t="shared" si="0"/>
        <v>7.7</v>
      </c>
      <c r="O32" s="92">
        <f t="shared" si="1"/>
        <v>9.4</v>
      </c>
      <c r="P32" s="99">
        <f t="shared" si="2"/>
        <v>5</v>
      </c>
      <c r="Q32" s="94">
        <v>4.2</v>
      </c>
      <c r="R32" s="94">
        <f t="shared" si="3"/>
        <v>5.2</v>
      </c>
      <c r="S32" s="95"/>
      <c r="T32" s="95"/>
      <c r="U32" s="96"/>
      <c r="V32" s="88">
        <v>45656</v>
      </c>
    </row>
    <row r="33" spans="1:22" ht="15.75" x14ac:dyDescent="0.25">
      <c r="A33" s="80">
        <v>45687</v>
      </c>
      <c r="B33" s="97">
        <v>8</v>
      </c>
      <c r="C33" s="97">
        <v>8.5</v>
      </c>
      <c r="D33" s="97">
        <v>9.1</v>
      </c>
      <c r="E33" s="97">
        <v>8.1</v>
      </c>
      <c r="F33" s="97">
        <v>7</v>
      </c>
      <c r="G33" s="97">
        <v>6</v>
      </c>
      <c r="H33" s="97">
        <v>4.9000000000000004</v>
      </c>
      <c r="I33" s="97">
        <v>6</v>
      </c>
      <c r="J33" s="97">
        <v>6.8</v>
      </c>
      <c r="K33" s="97">
        <v>7.6</v>
      </c>
      <c r="L33" s="97">
        <v>6.8</v>
      </c>
      <c r="M33" s="98">
        <v>6.3</v>
      </c>
      <c r="N33" s="91">
        <f t="shared" si="0"/>
        <v>7.1</v>
      </c>
      <c r="O33" s="92">
        <f t="shared" si="1"/>
        <v>9.1</v>
      </c>
      <c r="P33" s="99">
        <f t="shared" si="2"/>
        <v>4.9000000000000004</v>
      </c>
      <c r="Q33" s="94">
        <v>3.8</v>
      </c>
      <c r="R33" s="94">
        <f t="shared" si="3"/>
        <v>5.3</v>
      </c>
      <c r="S33" s="95"/>
      <c r="T33" s="95"/>
      <c r="U33" s="96"/>
      <c r="V33" s="103"/>
    </row>
    <row r="34" spans="1:22" ht="16.5" thickBot="1" x14ac:dyDescent="0.3">
      <c r="A34" s="80">
        <v>45688</v>
      </c>
      <c r="B34" s="104">
        <v>5.8</v>
      </c>
      <c r="C34" s="104">
        <v>6.7</v>
      </c>
      <c r="D34" s="104">
        <v>7.5</v>
      </c>
      <c r="E34" s="104">
        <v>6.4</v>
      </c>
      <c r="F34" s="104">
        <v>5.7</v>
      </c>
      <c r="G34" s="104">
        <v>5.3</v>
      </c>
      <c r="H34" s="104">
        <v>4.9000000000000004</v>
      </c>
      <c r="I34" s="104">
        <v>4.5</v>
      </c>
      <c r="J34" s="104">
        <v>5.5</v>
      </c>
      <c r="K34" s="104">
        <v>6.9</v>
      </c>
      <c r="L34" s="104">
        <v>7.2</v>
      </c>
      <c r="M34" s="105">
        <v>6.2</v>
      </c>
      <c r="N34" s="106">
        <f t="shared" si="0"/>
        <v>6.1</v>
      </c>
      <c r="O34" s="107">
        <f t="shared" si="1"/>
        <v>7.5</v>
      </c>
      <c r="P34" s="108">
        <f t="shared" si="2"/>
        <v>4.5</v>
      </c>
      <c r="Q34" s="109">
        <v>3.3</v>
      </c>
      <c r="R34" s="110">
        <f>O34-Q34</f>
        <v>4.2</v>
      </c>
      <c r="S34" s="111"/>
      <c r="T34" s="112"/>
      <c r="U34" s="113"/>
      <c r="V34" s="114"/>
    </row>
    <row r="35" spans="1:22" ht="16.5" thickTop="1" x14ac:dyDescent="0.25">
      <c r="A35" s="80">
        <v>45689</v>
      </c>
      <c r="B35" s="89">
        <v>5</v>
      </c>
      <c r="C35" s="89">
        <v>4.3</v>
      </c>
      <c r="D35" s="89">
        <v>5</v>
      </c>
      <c r="E35" s="89">
        <v>5.6</v>
      </c>
      <c r="F35" s="89">
        <v>6.4</v>
      </c>
      <c r="G35" s="89">
        <v>4.8</v>
      </c>
      <c r="H35" s="89">
        <v>3.9</v>
      </c>
      <c r="I35" s="89">
        <v>3.4</v>
      </c>
      <c r="J35" s="89">
        <v>5</v>
      </c>
      <c r="K35" s="89">
        <v>6.1</v>
      </c>
      <c r="L35" s="89">
        <v>6.8</v>
      </c>
      <c r="M35" s="90">
        <v>5.8</v>
      </c>
      <c r="N35" s="115">
        <f t="shared" si="0"/>
        <v>5.2</v>
      </c>
      <c r="O35" s="116">
        <f t="shared" si="1"/>
        <v>6.8</v>
      </c>
      <c r="P35" s="93">
        <f t="shared" si="2"/>
        <v>3.4</v>
      </c>
      <c r="Q35" s="100">
        <v>2.5</v>
      </c>
      <c r="R35" s="94">
        <f t="shared" si="3"/>
        <v>4.3</v>
      </c>
      <c r="S35" s="117"/>
      <c r="T35" s="86"/>
      <c r="U35" s="87"/>
      <c r="V35" s="114"/>
    </row>
    <row r="36" spans="1:22" ht="15.75" x14ac:dyDescent="0.25">
      <c r="A36" s="80">
        <v>45690</v>
      </c>
      <c r="B36" s="97">
        <v>4.8</v>
      </c>
      <c r="C36" s="97">
        <v>4</v>
      </c>
      <c r="D36" s="97">
        <v>4.9000000000000004</v>
      </c>
      <c r="E36" s="97">
        <v>5.9</v>
      </c>
      <c r="F36" s="97">
        <v>5.0999999999999996</v>
      </c>
      <c r="G36" s="97">
        <v>4.5999999999999996</v>
      </c>
      <c r="H36" s="97">
        <v>3.9</v>
      </c>
      <c r="I36" s="97">
        <v>3.2</v>
      </c>
      <c r="J36" s="97">
        <v>4.2</v>
      </c>
      <c r="K36" s="97">
        <v>5.8</v>
      </c>
      <c r="L36" s="97">
        <v>6.4</v>
      </c>
      <c r="M36" s="98">
        <v>5.4</v>
      </c>
      <c r="N36" s="91">
        <f t="shared" si="0"/>
        <v>4.9000000000000004</v>
      </c>
      <c r="O36" s="92">
        <f t="shared" si="1"/>
        <v>6.4</v>
      </c>
      <c r="P36" s="99">
        <f t="shared" si="2"/>
        <v>3.2</v>
      </c>
      <c r="Q36" s="94">
        <v>2</v>
      </c>
      <c r="R36" s="94">
        <f t="shared" si="3"/>
        <v>4.4000000000000004</v>
      </c>
      <c r="S36" s="118"/>
      <c r="T36" s="95"/>
      <c r="U36" s="96"/>
      <c r="V36" s="114"/>
    </row>
    <row r="37" spans="1:22" ht="15.75" x14ac:dyDescent="0.25">
      <c r="A37" s="80">
        <v>45691</v>
      </c>
      <c r="B37" s="97">
        <v>4.4000000000000004</v>
      </c>
      <c r="C37" s="97">
        <v>3.5</v>
      </c>
      <c r="D37" s="97">
        <v>4.2</v>
      </c>
      <c r="E37" s="97">
        <v>4.5999999999999996</v>
      </c>
      <c r="F37" s="97">
        <v>5.0999999999999996</v>
      </c>
      <c r="G37" s="97">
        <v>4.0999999999999996</v>
      </c>
      <c r="H37" s="97">
        <v>3</v>
      </c>
      <c r="I37" s="97">
        <v>2.2000000000000002</v>
      </c>
      <c r="J37" s="97">
        <v>3.1</v>
      </c>
      <c r="K37" s="97">
        <v>3.9</v>
      </c>
      <c r="L37" s="97">
        <v>4.5999999999999996</v>
      </c>
      <c r="M37" s="98">
        <v>3.7</v>
      </c>
      <c r="N37" s="91">
        <f t="shared" si="0"/>
        <v>3.9</v>
      </c>
      <c r="O37" s="92">
        <f t="shared" si="1"/>
        <v>5.0999999999999996</v>
      </c>
      <c r="P37" s="99">
        <f t="shared" si="2"/>
        <v>2.2000000000000002</v>
      </c>
      <c r="Q37" s="94">
        <v>1.7</v>
      </c>
      <c r="R37" s="94">
        <f>O37-Q37</f>
        <v>3.3999999999999995</v>
      </c>
      <c r="S37" s="118"/>
      <c r="T37" s="95"/>
      <c r="U37" s="96"/>
      <c r="V37" s="114"/>
    </row>
    <row r="38" spans="1:22" ht="15.75" x14ac:dyDescent="0.25">
      <c r="A38" s="80">
        <v>45692</v>
      </c>
      <c r="B38" s="97">
        <v>3</v>
      </c>
      <c r="C38" s="97">
        <v>2.1</v>
      </c>
      <c r="D38" s="97">
        <v>2.7</v>
      </c>
      <c r="E38" s="97">
        <v>3.2</v>
      </c>
      <c r="F38" s="97">
        <v>3.6</v>
      </c>
      <c r="G38" s="97">
        <v>2.9</v>
      </c>
      <c r="H38" s="97">
        <v>2.7</v>
      </c>
      <c r="I38" s="97">
        <v>1.6</v>
      </c>
      <c r="J38" s="97">
        <v>2.4</v>
      </c>
      <c r="K38" s="97">
        <v>3</v>
      </c>
      <c r="L38" s="97">
        <v>3.4</v>
      </c>
      <c r="M38" s="98">
        <v>3.6</v>
      </c>
      <c r="N38" s="91">
        <f t="shared" si="0"/>
        <v>2.9</v>
      </c>
      <c r="O38" s="92">
        <f t="shared" si="1"/>
        <v>3.6</v>
      </c>
      <c r="P38" s="99">
        <f t="shared" si="2"/>
        <v>1.6</v>
      </c>
      <c r="Q38" s="94">
        <v>1.8</v>
      </c>
      <c r="R38" s="94">
        <f t="shared" ref="R38:R62" si="4">O38-Q38</f>
        <v>1.8</v>
      </c>
      <c r="S38" s="118"/>
      <c r="T38" s="95"/>
      <c r="U38" s="96"/>
      <c r="V38" s="114"/>
    </row>
    <row r="39" spans="1:22" ht="15.75" x14ac:dyDescent="0.25">
      <c r="A39" s="80">
        <v>45693</v>
      </c>
      <c r="B39" s="97">
        <v>2.9</v>
      </c>
      <c r="C39" s="97">
        <v>2.1</v>
      </c>
      <c r="D39" s="97">
        <v>1.5</v>
      </c>
      <c r="E39" s="97">
        <v>2</v>
      </c>
      <c r="F39" s="97">
        <v>2.4</v>
      </c>
      <c r="G39" s="97">
        <v>3</v>
      </c>
      <c r="H39" s="97">
        <v>2.6</v>
      </c>
      <c r="I39" s="97">
        <v>2.1</v>
      </c>
      <c r="J39" s="97">
        <v>1.6</v>
      </c>
      <c r="K39" s="97">
        <v>2.4</v>
      </c>
      <c r="L39" s="97">
        <v>2.9</v>
      </c>
      <c r="M39" s="98">
        <v>3.2</v>
      </c>
      <c r="N39" s="91">
        <f t="shared" si="0"/>
        <v>2.4</v>
      </c>
      <c r="O39" s="92">
        <f t="shared" si="1"/>
        <v>3.2</v>
      </c>
      <c r="P39" s="99">
        <f t="shared" si="2"/>
        <v>1.5</v>
      </c>
      <c r="Q39" s="94">
        <v>2.2999999999999998</v>
      </c>
      <c r="R39" s="94">
        <f t="shared" si="4"/>
        <v>0.90000000000000036</v>
      </c>
      <c r="S39" s="118"/>
      <c r="T39" s="95"/>
      <c r="U39" s="96"/>
      <c r="V39" s="114"/>
    </row>
    <row r="40" spans="1:22" ht="15.75" x14ac:dyDescent="0.25">
      <c r="A40" s="80">
        <v>45694</v>
      </c>
      <c r="B40" s="97">
        <v>2.5</v>
      </c>
      <c r="C40" s="97">
        <v>1.7</v>
      </c>
      <c r="D40" s="97">
        <v>1.2</v>
      </c>
      <c r="E40" s="97">
        <v>0.8</v>
      </c>
      <c r="F40" s="97">
        <v>1.4</v>
      </c>
      <c r="G40" s="97">
        <v>1.6</v>
      </c>
      <c r="H40" s="97">
        <v>1.9</v>
      </c>
      <c r="I40" s="97">
        <v>1.5</v>
      </c>
      <c r="J40" s="97">
        <v>1</v>
      </c>
      <c r="K40" s="97">
        <v>1.4</v>
      </c>
      <c r="L40" s="97">
        <v>1.9</v>
      </c>
      <c r="M40" s="98">
        <v>2.4</v>
      </c>
      <c r="N40" s="91">
        <f t="shared" si="0"/>
        <v>1.6</v>
      </c>
      <c r="O40" s="92">
        <f t="shared" si="1"/>
        <v>2.5</v>
      </c>
      <c r="P40" s="99">
        <f t="shared" si="2"/>
        <v>0.8</v>
      </c>
      <c r="Q40" s="94">
        <v>5.7</v>
      </c>
      <c r="R40" s="94">
        <f t="shared" si="4"/>
        <v>-3.2</v>
      </c>
      <c r="S40" s="118"/>
      <c r="T40" s="95"/>
      <c r="U40" s="96"/>
      <c r="V40" s="114"/>
    </row>
    <row r="41" spans="1:22" ht="15.75" x14ac:dyDescent="0.25">
      <c r="A41" s="80">
        <v>45695</v>
      </c>
      <c r="B41" s="97">
        <v>2.8</v>
      </c>
      <c r="C41" s="97">
        <v>2.2000000000000002</v>
      </c>
      <c r="D41" s="97">
        <v>1.2</v>
      </c>
      <c r="E41" s="97">
        <v>0.7</v>
      </c>
      <c r="F41" s="97">
        <v>1</v>
      </c>
      <c r="G41" s="97">
        <v>1.4</v>
      </c>
      <c r="H41" s="97">
        <v>1.7</v>
      </c>
      <c r="I41" s="97">
        <v>1.9</v>
      </c>
      <c r="J41" s="97">
        <v>2</v>
      </c>
      <c r="K41" s="97">
        <v>2.2000000000000002</v>
      </c>
      <c r="L41" s="97">
        <v>2.4</v>
      </c>
      <c r="M41" s="98">
        <v>2.6</v>
      </c>
      <c r="N41" s="91">
        <f t="shared" si="0"/>
        <v>1.8</v>
      </c>
      <c r="O41" s="92">
        <f t="shared" si="1"/>
        <v>2.8</v>
      </c>
      <c r="P41" s="99">
        <f t="shared" si="2"/>
        <v>0.7</v>
      </c>
      <c r="Q41" s="94">
        <v>7.6</v>
      </c>
      <c r="R41" s="94">
        <f t="shared" si="4"/>
        <v>-4.8</v>
      </c>
      <c r="S41" s="118"/>
      <c r="T41" s="95"/>
      <c r="U41" s="96"/>
      <c r="V41" s="114"/>
    </row>
    <row r="42" spans="1:22" ht="15.75" x14ac:dyDescent="0.25">
      <c r="A42" s="80">
        <v>45696</v>
      </c>
      <c r="B42" s="97">
        <v>2.9</v>
      </c>
      <c r="C42" s="97">
        <v>2.5</v>
      </c>
      <c r="D42" s="97">
        <v>2.2000000000000002</v>
      </c>
      <c r="E42" s="97">
        <v>1.9</v>
      </c>
      <c r="F42" s="97">
        <v>1.3</v>
      </c>
      <c r="G42" s="97">
        <v>1.8</v>
      </c>
      <c r="H42" s="97">
        <v>2.5</v>
      </c>
      <c r="I42" s="97">
        <v>3.5</v>
      </c>
      <c r="J42" s="97">
        <v>4</v>
      </c>
      <c r="K42" s="97">
        <v>4</v>
      </c>
      <c r="L42" s="97">
        <v>3.8</v>
      </c>
      <c r="M42" s="98">
        <v>4.3</v>
      </c>
      <c r="N42" s="91">
        <f t="shared" si="0"/>
        <v>2.9</v>
      </c>
      <c r="O42" s="92">
        <f t="shared" si="1"/>
        <v>4.3</v>
      </c>
      <c r="P42" s="99">
        <f t="shared" si="2"/>
        <v>1.3</v>
      </c>
      <c r="Q42" s="94">
        <v>7.9</v>
      </c>
      <c r="R42" s="94">
        <f t="shared" si="4"/>
        <v>-3.6000000000000005</v>
      </c>
      <c r="S42" s="118"/>
      <c r="T42" s="95"/>
      <c r="U42" s="96"/>
      <c r="V42" s="114"/>
    </row>
    <row r="43" spans="1:22" ht="15.75" x14ac:dyDescent="0.25">
      <c r="A43" s="80">
        <v>45697</v>
      </c>
      <c r="B43" s="97">
        <v>4.5999999999999996</v>
      </c>
      <c r="C43" s="97">
        <v>4.9000000000000004</v>
      </c>
      <c r="D43" s="97">
        <v>4.4000000000000004</v>
      </c>
      <c r="E43" s="97">
        <v>4</v>
      </c>
      <c r="F43" s="97">
        <v>3.2</v>
      </c>
      <c r="G43" s="97">
        <v>2.8</v>
      </c>
      <c r="H43" s="97">
        <v>3.9</v>
      </c>
      <c r="I43" s="97">
        <v>5.5</v>
      </c>
      <c r="J43" s="97">
        <v>7.6</v>
      </c>
      <c r="K43" s="97">
        <v>5.9</v>
      </c>
      <c r="L43" s="97">
        <v>5.3</v>
      </c>
      <c r="M43" s="98">
        <v>6.1</v>
      </c>
      <c r="N43" s="91">
        <f t="shared" si="0"/>
        <v>4.9000000000000004</v>
      </c>
      <c r="O43" s="92">
        <f t="shared" si="1"/>
        <v>7.6</v>
      </c>
      <c r="P43" s="99">
        <f t="shared" si="2"/>
        <v>2.8</v>
      </c>
      <c r="Q43" s="94">
        <v>8</v>
      </c>
      <c r="R43" s="94">
        <f t="shared" si="4"/>
        <v>-0.40000000000000036</v>
      </c>
      <c r="S43" s="118"/>
      <c r="T43" s="95"/>
      <c r="U43" s="96"/>
      <c r="V43" s="114"/>
    </row>
    <row r="44" spans="1:22" ht="15.75" x14ac:dyDescent="0.25">
      <c r="A44" s="80">
        <v>45698</v>
      </c>
      <c r="B44" s="97">
        <v>7</v>
      </c>
      <c r="C44" s="97">
        <v>7.8</v>
      </c>
      <c r="D44" s="97">
        <v>7.3</v>
      </c>
      <c r="E44" s="97">
        <v>6.8</v>
      </c>
      <c r="F44" s="97">
        <v>5</v>
      </c>
      <c r="G44" s="97">
        <v>3.8</v>
      </c>
      <c r="H44" s="97">
        <v>4.5999999999999996</v>
      </c>
      <c r="I44" s="97">
        <v>5.8</v>
      </c>
      <c r="J44" s="97">
        <v>7</v>
      </c>
      <c r="K44" s="97">
        <v>7.6</v>
      </c>
      <c r="L44" s="97">
        <v>7.1</v>
      </c>
      <c r="M44" s="98">
        <v>6.2</v>
      </c>
      <c r="N44" s="91">
        <f t="shared" si="0"/>
        <v>6.3</v>
      </c>
      <c r="O44" s="92">
        <f t="shared" si="1"/>
        <v>7.8</v>
      </c>
      <c r="P44" s="99">
        <f t="shared" si="2"/>
        <v>3.8</v>
      </c>
      <c r="Q44" s="94">
        <v>8.1</v>
      </c>
      <c r="R44" s="94">
        <f t="shared" si="4"/>
        <v>-0.29999999999999982</v>
      </c>
      <c r="S44" s="118"/>
      <c r="T44" s="95"/>
      <c r="U44" s="96"/>
      <c r="V44" s="114"/>
    </row>
    <row r="45" spans="1:22" ht="15.75" x14ac:dyDescent="0.25">
      <c r="A45" s="80">
        <v>45699</v>
      </c>
      <c r="B45" s="97">
        <v>7</v>
      </c>
      <c r="C45" s="97">
        <v>7.9</v>
      </c>
      <c r="D45" s="97">
        <v>7.2</v>
      </c>
      <c r="E45" s="97">
        <v>6.6</v>
      </c>
      <c r="F45" s="97">
        <v>4.9000000000000004</v>
      </c>
      <c r="G45" s="97">
        <v>3.8</v>
      </c>
      <c r="H45" s="97">
        <v>4.3</v>
      </c>
      <c r="I45" s="97">
        <v>6.3</v>
      </c>
      <c r="J45" s="97">
        <v>7.1</v>
      </c>
      <c r="K45" s="97">
        <v>7.6</v>
      </c>
      <c r="L45" s="97">
        <v>6.6</v>
      </c>
      <c r="M45" s="98">
        <v>5.7</v>
      </c>
      <c r="N45" s="91">
        <f t="shared" si="0"/>
        <v>6.3</v>
      </c>
      <c r="O45" s="92">
        <f t="shared" si="1"/>
        <v>7.9</v>
      </c>
      <c r="P45" s="99">
        <f t="shared" si="2"/>
        <v>3.8</v>
      </c>
      <c r="Q45" s="94">
        <v>8.6999999999999993</v>
      </c>
      <c r="R45" s="94">
        <f t="shared" si="4"/>
        <v>-0.79999999999999893</v>
      </c>
      <c r="S45" s="118"/>
      <c r="T45" s="95"/>
      <c r="U45" s="96"/>
      <c r="V45" s="114"/>
    </row>
    <row r="46" spans="1:22" ht="15.75" x14ac:dyDescent="0.25">
      <c r="A46" s="80">
        <v>45700</v>
      </c>
      <c r="B46" s="97">
        <v>6.2</v>
      </c>
      <c r="C46" s="97">
        <v>6.8</v>
      </c>
      <c r="D46" s="97">
        <v>7.3</v>
      </c>
      <c r="E46" s="97">
        <v>6.3</v>
      </c>
      <c r="F46" s="97">
        <v>4.5999999999999996</v>
      </c>
      <c r="G46" s="97">
        <v>3.8</v>
      </c>
      <c r="H46" s="97">
        <v>3.3</v>
      </c>
      <c r="I46" s="97">
        <v>5.6</v>
      </c>
      <c r="J46" s="97">
        <v>6.6</v>
      </c>
      <c r="K46" s="97">
        <v>7.1</v>
      </c>
      <c r="L46" s="97">
        <v>6.5</v>
      </c>
      <c r="M46" s="98">
        <v>4.8</v>
      </c>
      <c r="N46" s="91">
        <f t="shared" si="0"/>
        <v>5.7</v>
      </c>
      <c r="O46" s="92">
        <f t="shared" si="1"/>
        <v>7.3</v>
      </c>
      <c r="P46" s="99">
        <f t="shared" si="2"/>
        <v>3.3</v>
      </c>
      <c r="Q46" s="94">
        <v>8.5</v>
      </c>
      <c r="R46" s="94">
        <f t="shared" si="4"/>
        <v>-1.2000000000000002</v>
      </c>
      <c r="S46" s="118"/>
      <c r="T46" s="95"/>
      <c r="U46" s="96"/>
      <c r="V46" s="114"/>
    </row>
    <row r="47" spans="1:22" ht="15.75" x14ac:dyDescent="0.25">
      <c r="A47" s="80">
        <v>45701</v>
      </c>
      <c r="B47" s="97">
        <v>5.7</v>
      </c>
      <c r="C47" s="97">
        <v>6.5</v>
      </c>
      <c r="D47" s="97">
        <v>7</v>
      </c>
      <c r="E47" s="97">
        <v>5.4</v>
      </c>
      <c r="F47" s="97">
        <v>4.2</v>
      </c>
      <c r="G47" s="97">
        <v>3.1</v>
      </c>
      <c r="H47" s="97">
        <v>2.5</v>
      </c>
      <c r="I47" s="97">
        <v>4</v>
      </c>
      <c r="J47" s="97">
        <v>5.5</v>
      </c>
      <c r="K47" s="97">
        <v>6.3</v>
      </c>
      <c r="L47" s="97">
        <v>5.5</v>
      </c>
      <c r="M47" s="97">
        <v>4.2</v>
      </c>
      <c r="N47" s="119">
        <f t="shared" si="0"/>
        <v>5</v>
      </c>
      <c r="O47" s="120">
        <f t="shared" si="1"/>
        <v>7</v>
      </c>
      <c r="P47" s="99">
        <f t="shared" si="2"/>
        <v>2.5</v>
      </c>
      <c r="Q47" s="94">
        <v>8.3000000000000007</v>
      </c>
      <c r="R47" s="94">
        <f t="shared" si="4"/>
        <v>-1.3000000000000007</v>
      </c>
      <c r="S47" s="118"/>
      <c r="T47" s="95"/>
      <c r="U47" s="96"/>
      <c r="V47" s="114"/>
    </row>
    <row r="48" spans="1:22" ht="15.75" x14ac:dyDescent="0.25">
      <c r="A48" s="80">
        <v>45702</v>
      </c>
      <c r="B48" s="97">
        <v>3.6</v>
      </c>
      <c r="C48" s="97">
        <v>4</v>
      </c>
      <c r="D48" s="97">
        <v>4.5</v>
      </c>
      <c r="E48" s="97">
        <v>5</v>
      </c>
      <c r="F48" s="97">
        <v>4.4000000000000004</v>
      </c>
      <c r="G48" s="97">
        <v>3.5</v>
      </c>
      <c r="H48" s="97">
        <v>2.6</v>
      </c>
      <c r="I48" s="97">
        <v>3</v>
      </c>
      <c r="J48" s="97">
        <v>5</v>
      </c>
      <c r="K48" s="97">
        <v>5.3</v>
      </c>
      <c r="L48" s="97">
        <v>4.3</v>
      </c>
      <c r="M48" s="98">
        <v>3.4</v>
      </c>
      <c r="N48" s="91">
        <f t="shared" si="0"/>
        <v>4.0999999999999996</v>
      </c>
      <c r="O48" s="120">
        <f t="shared" si="1"/>
        <v>5.3</v>
      </c>
      <c r="P48" s="121">
        <f t="shared" si="2"/>
        <v>2.6</v>
      </c>
      <c r="Q48" s="94">
        <v>6.9</v>
      </c>
      <c r="R48" s="94">
        <f t="shared" si="4"/>
        <v>-1.6000000000000005</v>
      </c>
      <c r="S48" s="118"/>
      <c r="T48" s="95"/>
      <c r="U48" s="96"/>
      <c r="V48" s="114"/>
    </row>
    <row r="49" spans="1:22" ht="15.75" x14ac:dyDescent="0.25">
      <c r="A49" s="80">
        <v>45703</v>
      </c>
      <c r="B49" s="97">
        <v>2.9</v>
      </c>
      <c r="C49" s="97">
        <v>3.5</v>
      </c>
      <c r="D49" s="97">
        <v>4.0999999999999996</v>
      </c>
      <c r="E49" s="97">
        <v>4.5999999999999996</v>
      </c>
      <c r="F49" s="97">
        <v>4.2</v>
      </c>
      <c r="G49" s="97">
        <v>3.7</v>
      </c>
      <c r="H49" s="97">
        <v>3</v>
      </c>
      <c r="I49" s="97">
        <v>2.2000000000000002</v>
      </c>
      <c r="J49" s="97">
        <v>3.6</v>
      </c>
      <c r="K49" s="97">
        <v>4.2</v>
      </c>
      <c r="L49" s="97">
        <v>4.7</v>
      </c>
      <c r="M49" s="98">
        <v>4</v>
      </c>
      <c r="N49" s="91">
        <f t="shared" si="0"/>
        <v>3.7</v>
      </c>
      <c r="O49" s="120">
        <f t="shared" si="1"/>
        <v>4.7</v>
      </c>
      <c r="P49" s="121">
        <f t="shared" si="2"/>
        <v>2.2000000000000002</v>
      </c>
      <c r="Q49" s="94">
        <v>5.3</v>
      </c>
      <c r="R49" s="94">
        <f t="shared" si="4"/>
        <v>-0.59999999999999964</v>
      </c>
      <c r="S49" s="118"/>
      <c r="T49" s="95"/>
      <c r="U49" s="96"/>
      <c r="V49" s="114"/>
    </row>
    <row r="50" spans="1:22" ht="15.75" x14ac:dyDescent="0.25">
      <c r="A50" s="80">
        <v>45704</v>
      </c>
      <c r="B50" s="97">
        <v>3.2</v>
      </c>
      <c r="C50" s="97">
        <v>2.5</v>
      </c>
      <c r="D50" s="97">
        <v>3.5</v>
      </c>
      <c r="E50" s="97">
        <v>4.4000000000000004</v>
      </c>
      <c r="F50" s="97">
        <v>3.6</v>
      </c>
      <c r="G50" s="97">
        <v>3</v>
      </c>
      <c r="H50" s="97">
        <v>2.5</v>
      </c>
      <c r="I50" s="97">
        <v>2.2000000000000002</v>
      </c>
      <c r="J50" s="97">
        <v>2.7</v>
      </c>
      <c r="K50" s="97">
        <v>3.5</v>
      </c>
      <c r="L50" s="97">
        <v>3.9</v>
      </c>
      <c r="M50" s="98">
        <v>3.5</v>
      </c>
      <c r="N50" s="91">
        <f t="shared" si="0"/>
        <v>3.2</v>
      </c>
      <c r="O50" s="120">
        <f t="shared" si="1"/>
        <v>4.4000000000000004</v>
      </c>
      <c r="P50" s="121">
        <f t="shared" si="2"/>
        <v>2.2000000000000002</v>
      </c>
      <c r="Q50" s="94">
        <v>3.9</v>
      </c>
      <c r="R50" s="94">
        <f t="shared" si="4"/>
        <v>0.50000000000000044</v>
      </c>
      <c r="S50" s="118"/>
      <c r="T50" s="95"/>
      <c r="U50" s="96"/>
      <c r="V50" s="114"/>
    </row>
    <row r="51" spans="1:22" ht="15.75" x14ac:dyDescent="0.25">
      <c r="A51" s="80">
        <v>45705</v>
      </c>
      <c r="B51" s="97">
        <v>2.8</v>
      </c>
      <c r="C51" s="97">
        <v>2.2000000000000002</v>
      </c>
      <c r="D51" s="97">
        <v>3</v>
      </c>
      <c r="E51" s="97">
        <v>3.7</v>
      </c>
      <c r="F51" s="97">
        <v>3.9</v>
      </c>
      <c r="G51" s="97">
        <v>3.1</v>
      </c>
      <c r="H51" s="97">
        <v>2.2999999999999998</v>
      </c>
      <c r="I51" s="97">
        <v>1.6</v>
      </c>
      <c r="J51" s="97">
        <v>2</v>
      </c>
      <c r="K51" s="97">
        <v>3.6</v>
      </c>
      <c r="L51" s="97">
        <v>4</v>
      </c>
      <c r="M51" s="98">
        <v>3.3</v>
      </c>
      <c r="N51" s="91">
        <f t="shared" si="0"/>
        <v>3</v>
      </c>
      <c r="O51" s="120">
        <f t="shared" si="1"/>
        <v>4</v>
      </c>
      <c r="P51" s="121">
        <f t="shared" si="2"/>
        <v>1.6</v>
      </c>
      <c r="Q51" s="94">
        <v>2.9</v>
      </c>
      <c r="R51" s="94">
        <f t="shared" si="4"/>
        <v>1.1000000000000001</v>
      </c>
      <c r="S51" s="118"/>
      <c r="T51" s="95"/>
      <c r="U51" s="96"/>
      <c r="V51" s="114"/>
    </row>
    <row r="52" spans="1:22" ht="15.75" x14ac:dyDescent="0.25">
      <c r="A52" s="80">
        <v>45706</v>
      </c>
      <c r="B52" s="97">
        <v>2.5</v>
      </c>
      <c r="C52" s="97">
        <v>1.7</v>
      </c>
      <c r="D52" s="97">
        <v>2.1</v>
      </c>
      <c r="E52" s="97">
        <v>2.4</v>
      </c>
      <c r="F52" s="97">
        <v>3</v>
      </c>
      <c r="G52" s="97">
        <v>2.2000000000000002</v>
      </c>
      <c r="H52" s="97">
        <v>1.4</v>
      </c>
      <c r="I52" s="97">
        <v>0.8</v>
      </c>
      <c r="J52" s="97">
        <v>1.6</v>
      </c>
      <c r="K52" s="97">
        <v>2.5</v>
      </c>
      <c r="L52" s="97">
        <v>3.2</v>
      </c>
      <c r="M52" s="98">
        <v>2.8</v>
      </c>
      <c r="N52" s="91">
        <f t="shared" si="0"/>
        <v>2.2000000000000002</v>
      </c>
      <c r="O52" s="120">
        <f t="shared" si="1"/>
        <v>3.2</v>
      </c>
      <c r="P52" s="121">
        <f t="shared" si="2"/>
        <v>0.8</v>
      </c>
      <c r="Q52" s="94">
        <v>2.2000000000000002</v>
      </c>
      <c r="R52" s="94">
        <f t="shared" si="4"/>
        <v>1</v>
      </c>
      <c r="S52" s="118"/>
      <c r="T52" s="95"/>
      <c r="U52" s="96"/>
      <c r="V52" s="114"/>
    </row>
    <row r="53" spans="1:22" ht="15.75" x14ac:dyDescent="0.25">
      <c r="A53" s="80">
        <v>45707</v>
      </c>
      <c r="B53" s="97">
        <v>2.1</v>
      </c>
      <c r="C53" s="97">
        <v>1.6</v>
      </c>
      <c r="D53" s="97">
        <v>1.1000000000000001</v>
      </c>
      <c r="E53" s="97">
        <v>1.4</v>
      </c>
      <c r="F53" s="97">
        <v>1.9</v>
      </c>
      <c r="G53" s="97">
        <v>1.3</v>
      </c>
      <c r="H53" s="97">
        <v>0.7</v>
      </c>
      <c r="I53" s="97">
        <v>0.4</v>
      </c>
      <c r="J53" s="97">
        <v>0.9</v>
      </c>
      <c r="K53" s="97">
        <v>1.9</v>
      </c>
      <c r="L53" s="97">
        <v>2.4</v>
      </c>
      <c r="M53" s="98">
        <v>2</v>
      </c>
      <c r="N53" s="91">
        <f t="shared" si="0"/>
        <v>1.5</v>
      </c>
      <c r="O53" s="120">
        <f t="shared" si="1"/>
        <v>2.4</v>
      </c>
      <c r="P53" s="121">
        <f t="shared" si="2"/>
        <v>0.4</v>
      </c>
      <c r="Q53" s="94">
        <v>3.2</v>
      </c>
      <c r="R53" s="94">
        <f t="shared" si="4"/>
        <v>-0.80000000000000027</v>
      </c>
      <c r="S53" s="118"/>
      <c r="T53" s="95"/>
      <c r="U53" s="96"/>
      <c r="V53" s="114"/>
    </row>
    <row r="54" spans="1:22" ht="15.75" x14ac:dyDescent="0.25">
      <c r="A54" s="80">
        <v>45708</v>
      </c>
      <c r="B54" s="97">
        <v>1.2</v>
      </c>
      <c r="C54" s="97">
        <v>0.7</v>
      </c>
      <c r="D54" s="97">
        <v>0.4</v>
      </c>
      <c r="E54" s="97">
        <v>0.6</v>
      </c>
      <c r="F54" s="97">
        <v>0.9</v>
      </c>
      <c r="G54" s="97">
        <v>1.1000000000000001</v>
      </c>
      <c r="H54" s="97">
        <v>0.8</v>
      </c>
      <c r="I54" s="97">
        <v>0.6</v>
      </c>
      <c r="J54" s="97">
        <v>0.4</v>
      </c>
      <c r="K54" s="97">
        <v>1</v>
      </c>
      <c r="L54" s="97">
        <v>1.3</v>
      </c>
      <c r="M54" s="98">
        <v>1.6</v>
      </c>
      <c r="N54" s="91">
        <f t="shared" si="0"/>
        <v>0.9</v>
      </c>
      <c r="O54" s="120">
        <f t="shared" si="1"/>
        <v>1.6</v>
      </c>
      <c r="P54" s="121">
        <f t="shared" si="2"/>
        <v>0.4</v>
      </c>
      <c r="Q54" s="94">
        <v>4.4000000000000004</v>
      </c>
      <c r="R54" s="94">
        <f t="shared" si="4"/>
        <v>-2.8000000000000003</v>
      </c>
      <c r="S54" s="118"/>
      <c r="T54" s="95"/>
      <c r="U54" s="96"/>
      <c r="V54" s="114"/>
    </row>
    <row r="55" spans="1:22" ht="15.75" x14ac:dyDescent="0.25">
      <c r="A55" s="80">
        <v>45709</v>
      </c>
      <c r="B55" s="97">
        <v>1.3</v>
      </c>
      <c r="C55" s="97">
        <v>0.9</v>
      </c>
      <c r="D55" s="97">
        <v>0.7</v>
      </c>
      <c r="E55" s="97">
        <v>0.5</v>
      </c>
      <c r="F55" s="97">
        <v>0.7</v>
      </c>
      <c r="G55" s="97">
        <v>0.9</v>
      </c>
      <c r="H55" s="97">
        <v>1.5</v>
      </c>
      <c r="I55" s="97">
        <v>1</v>
      </c>
      <c r="J55" s="97">
        <v>1</v>
      </c>
      <c r="K55" s="97">
        <v>2.4</v>
      </c>
      <c r="L55" s="97">
        <v>2.6</v>
      </c>
      <c r="M55" s="98">
        <v>2.8</v>
      </c>
      <c r="N55" s="91">
        <f t="shared" si="0"/>
        <v>1.4</v>
      </c>
      <c r="O55" s="120">
        <f t="shared" si="1"/>
        <v>2.8</v>
      </c>
      <c r="P55" s="121">
        <f t="shared" si="2"/>
        <v>0.5</v>
      </c>
      <c r="Q55" s="94">
        <v>5.9</v>
      </c>
      <c r="R55" s="94">
        <f t="shared" si="4"/>
        <v>-3.1000000000000005</v>
      </c>
      <c r="S55" s="118"/>
      <c r="T55" s="95"/>
      <c r="U55" s="96"/>
      <c r="V55" s="114"/>
    </row>
    <row r="56" spans="1:22" ht="15.75" x14ac:dyDescent="0.25">
      <c r="A56" s="80">
        <v>45710</v>
      </c>
      <c r="B56" s="97">
        <v>2.2999999999999998</v>
      </c>
      <c r="C56" s="97">
        <v>1.7</v>
      </c>
      <c r="D56" s="97">
        <v>1.1000000000000001</v>
      </c>
      <c r="E56" s="97">
        <v>0.7</v>
      </c>
      <c r="F56" s="97">
        <v>0.9</v>
      </c>
      <c r="G56" s="97">
        <v>1</v>
      </c>
      <c r="H56" s="97">
        <v>1.2</v>
      </c>
      <c r="I56" s="97">
        <v>1.4</v>
      </c>
      <c r="J56" s="97">
        <v>1.7</v>
      </c>
      <c r="K56" s="97">
        <v>1.9</v>
      </c>
      <c r="L56" s="97">
        <v>2.1</v>
      </c>
      <c r="M56" s="98">
        <v>2.4</v>
      </c>
      <c r="N56" s="91">
        <f t="shared" si="0"/>
        <v>1.5</v>
      </c>
      <c r="O56" s="120">
        <f t="shared" si="1"/>
        <v>2.4</v>
      </c>
      <c r="P56" s="121">
        <f t="shared" si="2"/>
        <v>0.7</v>
      </c>
      <c r="Q56" s="94">
        <v>6.3</v>
      </c>
      <c r="R56" s="94">
        <f t="shared" si="4"/>
        <v>-3.9</v>
      </c>
      <c r="S56" s="118"/>
      <c r="T56" s="95"/>
      <c r="U56" s="96"/>
      <c r="V56" s="114"/>
    </row>
    <row r="57" spans="1:22" ht="15.75" x14ac:dyDescent="0.25">
      <c r="A57" s="80">
        <v>45711</v>
      </c>
      <c r="B57" s="97">
        <v>2</v>
      </c>
      <c r="C57" s="97">
        <v>1.6</v>
      </c>
      <c r="D57" s="97">
        <v>1.2</v>
      </c>
      <c r="E57" s="97">
        <v>1</v>
      </c>
      <c r="F57" s="97">
        <v>0.4</v>
      </c>
      <c r="G57" s="97">
        <v>1.4</v>
      </c>
      <c r="H57" s="97">
        <v>2.2999999999999998</v>
      </c>
      <c r="I57" s="97">
        <v>3</v>
      </c>
      <c r="J57" s="97">
        <v>3.6</v>
      </c>
      <c r="K57" s="97">
        <v>3.9</v>
      </c>
      <c r="L57" s="97">
        <v>4.0999999999999996</v>
      </c>
      <c r="M57" s="98">
        <v>4.5999999999999996</v>
      </c>
      <c r="N57" s="91">
        <f t="shared" si="0"/>
        <v>2.4</v>
      </c>
      <c r="O57" s="120">
        <f t="shared" si="1"/>
        <v>4.5999999999999996</v>
      </c>
      <c r="P57" s="121">
        <f t="shared" si="2"/>
        <v>0.4</v>
      </c>
      <c r="Q57" s="94">
        <v>6.3</v>
      </c>
      <c r="R57" s="94">
        <f t="shared" si="4"/>
        <v>-1.7000000000000002</v>
      </c>
      <c r="S57" s="118"/>
      <c r="T57" s="95"/>
      <c r="U57" s="96"/>
      <c r="V57" s="114"/>
    </row>
    <row r="58" spans="1:22" ht="15.75" x14ac:dyDescent="0.25">
      <c r="A58" s="80">
        <v>45712</v>
      </c>
      <c r="B58" s="97">
        <v>3.4</v>
      </c>
      <c r="C58" s="97">
        <v>3.2</v>
      </c>
      <c r="D58" s="97">
        <v>2.9</v>
      </c>
      <c r="E58" s="97">
        <v>2.6</v>
      </c>
      <c r="F58" s="97">
        <v>2.2999999999999998</v>
      </c>
      <c r="G58" s="97">
        <v>3.5</v>
      </c>
      <c r="H58" s="97">
        <v>5</v>
      </c>
      <c r="I58" s="97">
        <v>7</v>
      </c>
      <c r="J58" s="97">
        <v>8.1</v>
      </c>
      <c r="K58" s="97">
        <v>8.6</v>
      </c>
      <c r="L58" s="97">
        <v>8.8000000000000007</v>
      </c>
      <c r="M58" s="98">
        <v>8.8000000000000007</v>
      </c>
      <c r="N58" s="91">
        <f t="shared" si="0"/>
        <v>5.4</v>
      </c>
      <c r="O58" s="120">
        <f t="shared" si="1"/>
        <v>8.8000000000000007</v>
      </c>
      <c r="P58" s="121">
        <f t="shared" si="2"/>
        <v>2.2999999999999998</v>
      </c>
      <c r="Q58" s="94">
        <v>6.3</v>
      </c>
      <c r="R58" s="94">
        <f t="shared" si="4"/>
        <v>2.5000000000000009</v>
      </c>
      <c r="S58" s="118"/>
      <c r="T58" s="95"/>
      <c r="U58" s="96"/>
      <c r="V58" s="114"/>
    </row>
    <row r="59" spans="1:22" ht="15.75" x14ac:dyDescent="0.25">
      <c r="A59" s="80">
        <v>45713</v>
      </c>
      <c r="B59" s="97">
        <v>9</v>
      </c>
      <c r="C59" s="97">
        <v>7.2</v>
      </c>
      <c r="D59" s="97">
        <v>6.2</v>
      </c>
      <c r="E59" s="97">
        <v>5.8</v>
      </c>
      <c r="F59" s="97">
        <v>3.9</v>
      </c>
      <c r="G59" s="97">
        <v>3</v>
      </c>
      <c r="H59" s="97">
        <v>4.0999999999999996</v>
      </c>
      <c r="I59" s="97">
        <v>6</v>
      </c>
      <c r="J59" s="97">
        <v>7.6</v>
      </c>
      <c r="K59" s="97">
        <v>9.1</v>
      </c>
      <c r="L59" s="97">
        <v>8.5</v>
      </c>
      <c r="M59" s="98">
        <v>8</v>
      </c>
      <c r="N59" s="91">
        <f t="shared" si="0"/>
        <v>6.5</v>
      </c>
      <c r="O59" s="120">
        <f t="shared" si="1"/>
        <v>9.1</v>
      </c>
      <c r="P59" s="121">
        <f t="shared" si="2"/>
        <v>3</v>
      </c>
      <c r="Q59" s="94">
        <v>6.5</v>
      </c>
      <c r="R59" s="94">
        <f t="shared" si="4"/>
        <v>2.5999999999999996</v>
      </c>
      <c r="S59" s="118"/>
      <c r="T59" s="95"/>
      <c r="U59" s="96"/>
      <c r="V59" s="114"/>
    </row>
    <row r="60" spans="1:22" ht="15.75" x14ac:dyDescent="0.25">
      <c r="A60" s="80">
        <v>45714</v>
      </c>
      <c r="B60" s="97">
        <v>8.4</v>
      </c>
      <c r="C60" s="97">
        <v>8.6999999999999993</v>
      </c>
      <c r="D60" s="97">
        <v>7.9</v>
      </c>
      <c r="E60" s="97">
        <v>7.1</v>
      </c>
      <c r="F60" s="97">
        <v>5.8</v>
      </c>
      <c r="G60" s="97">
        <v>4.8</v>
      </c>
      <c r="H60" s="97">
        <v>5.9</v>
      </c>
      <c r="I60" s="97">
        <v>7.1</v>
      </c>
      <c r="J60" s="97">
        <v>8</v>
      </c>
      <c r="K60" s="97">
        <v>9.1999999999999993</v>
      </c>
      <c r="L60" s="97">
        <v>7.7</v>
      </c>
      <c r="M60" s="98">
        <v>7</v>
      </c>
      <c r="N60" s="91">
        <f t="shared" si="0"/>
        <v>7.3</v>
      </c>
      <c r="O60" s="120">
        <f t="shared" si="1"/>
        <v>9.1999999999999993</v>
      </c>
      <c r="P60" s="121">
        <f t="shared" si="2"/>
        <v>4.8</v>
      </c>
      <c r="Q60" s="94">
        <v>6.6</v>
      </c>
      <c r="R60" s="94">
        <f t="shared" si="4"/>
        <v>2.5999999999999996</v>
      </c>
      <c r="S60" s="118"/>
      <c r="T60" s="95"/>
      <c r="U60" s="96"/>
      <c r="V60" s="114"/>
    </row>
    <row r="61" spans="1:22" ht="15.75" x14ac:dyDescent="0.25">
      <c r="A61" s="80">
        <v>45715</v>
      </c>
      <c r="B61" s="97">
        <v>7.4</v>
      </c>
      <c r="C61" s="97">
        <v>7.9</v>
      </c>
      <c r="D61" s="97">
        <v>8.8000000000000007</v>
      </c>
      <c r="E61" s="97">
        <v>7.3</v>
      </c>
      <c r="F61" s="97">
        <v>6.5</v>
      </c>
      <c r="G61" s="97">
        <v>5.2</v>
      </c>
      <c r="H61" s="97">
        <v>6</v>
      </c>
      <c r="I61" s="97">
        <v>7</v>
      </c>
      <c r="J61" s="97">
        <v>7.9</v>
      </c>
      <c r="K61" s="97">
        <v>8.5</v>
      </c>
      <c r="L61" s="97">
        <v>7.8</v>
      </c>
      <c r="M61" s="98">
        <v>7</v>
      </c>
      <c r="N61" s="91">
        <f t="shared" si="0"/>
        <v>7.3</v>
      </c>
      <c r="O61" s="120">
        <f t="shared" si="1"/>
        <v>8.8000000000000007</v>
      </c>
      <c r="P61" s="121">
        <f t="shared" si="2"/>
        <v>5.2</v>
      </c>
      <c r="Q61" s="94">
        <v>6.5</v>
      </c>
      <c r="R61" s="94">
        <f t="shared" si="4"/>
        <v>2.3000000000000007</v>
      </c>
      <c r="S61" s="118"/>
      <c r="T61" s="95"/>
      <c r="U61" s="96"/>
      <c r="V61" s="114"/>
    </row>
    <row r="62" spans="1:22" ht="16.5" thickBot="1" x14ac:dyDescent="0.3">
      <c r="A62" s="80">
        <v>45716</v>
      </c>
      <c r="B62" s="101">
        <v>7.5</v>
      </c>
      <c r="C62" s="101">
        <v>8</v>
      </c>
      <c r="D62" s="101">
        <v>8.6999999999999993</v>
      </c>
      <c r="E62" s="101">
        <v>7.4</v>
      </c>
      <c r="F62" s="101">
        <v>6.3</v>
      </c>
      <c r="G62" s="101">
        <v>5.6</v>
      </c>
      <c r="H62" s="101">
        <v>5</v>
      </c>
      <c r="I62" s="101">
        <v>7.1</v>
      </c>
      <c r="J62" s="101">
        <v>8</v>
      </c>
      <c r="K62" s="101">
        <v>8.6</v>
      </c>
      <c r="L62" s="101">
        <v>7.9</v>
      </c>
      <c r="M62" s="102">
        <v>7.2</v>
      </c>
      <c r="N62" s="122">
        <f t="shared" si="0"/>
        <v>7.3</v>
      </c>
      <c r="O62" s="123">
        <f t="shared" si="1"/>
        <v>8.6999999999999993</v>
      </c>
      <c r="P62" s="124">
        <f t="shared" si="2"/>
        <v>5</v>
      </c>
      <c r="Q62" s="125">
        <v>6.2</v>
      </c>
      <c r="R62" s="94">
        <f t="shared" si="4"/>
        <v>2.4999999999999991</v>
      </c>
      <c r="S62" s="111"/>
      <c r="T62" s="112"/>
      <c r="U62" s="113"/>
      <c r="V62" s="114"/>
    </row>
    <row r="63" spans="1:22" ht="16.5" thickTop="1" x14ac:dyDescent="0.25">
      <c r="A63" s="80">
        <v>45717</v>
      </c>
      <c r="B63" s="81">
        <v>6.4</v>
      </c>
      <c r="C63" s="81">
        <v>7</v>
      </c>
      <c r="D63" s="81">
        <v>7.9</v>
      </c>
      <c r="E63" s="81">
        <v>6.4</v>
      </c>
      <c r="F63" s="81">
        <v>5.8</v>
      </c>
      <c r="G63" s="81">
        <v>5.9</v>
      </c>
      <c r="H63" s="81">
        <v>4.8</v>
      </c>
      <c r="I63" s="81">
        <v>5.3</v>
      </c>
      <c r="J63" s="81">
        <v>6.8</v>
      </c>
      <c r="K63" s="81">
        <v>8.1999999999999993</v>
      </c>
      <c r="L63" s="81">
        <v>7.5</v>
      </c>
      <c r="M63" s="82">
        <v>6.7</v>
      </c>
      <c r="N63" s="126">
        <f t="shared" si="0"/>
        <v>6.6</v>
      </c>
      <c r="O63" s="127">
        <f t="shared" si="1"/>
        <v>8.1999999999999993</v>
      </c>
      <c r="P63" s="128">
        <f t="shared" si="2"/>
        <v>4.8</v>
      </c>
      <c r="Q63" s="129"/>
      <c r="R63" s="129"/>
      <c r="S63" s="117"/>
      <c r="T63" s="86"/>
      <c r="U63" s="87"/>
      <c r="V63" s="114"/>
    </row>
    <row r="64" spans="1:22" ht="15.75" x14ac:dyDescent="0.25">
      <c r="A64" s="80">
        <v>45718</v>
      </c>
      <c r="B64" s="97">
        <v>6</v>
      </c>
      <c r="C64" s="97">
        <v>6.7</v>
      </c>
      <c r="D64" s="97">
        <v>7.3</v>
      </c>
      <c r="E64" s="97">
        <v>7.8</v>
      </c>
      <c r="F64" s="97">
        <v>5.6</v>
      </c>
      <c r="G64" s="97">
        <v>4.8</v>
      </c>
      <c r="H64" s="97">
        <v>4.3</v>
      </c>
      <c r="I64" s="97">
        <v>5.0999999999999996</v>
      </c>
      <c r="J64" s="97">
        <v>6</v>
      </c>
      <c r="K64" s="97">
        <v>6.8</v>
      </c>
      <c r="L64" s="97">
        <v>7.5</v>
      </c>
      <c r="M64" s="98">
        <v>6.7</v>
      </c>
      <c r="N64" s="91">
        <f t="shared" si="0"/>
        <v>6.2</v>
      </c>
      <c r="O64" s="120">
        <f t="shared" si="1"/>
        <v>7.8</v>
      </c>
      <c r="P64" s="121">
        <f t="shared" si="2"/>
        <v>4.3</v>
      </c>
      <c r="Q64" s="94"/>
      <c r="R64" s="94"/>
      <c r="S64" s="118"/>
      <c r="T64" s="95"/>
      <c r="U64" s="96"/>
      <c r="V64" s="114"/>
    </row>
    <row r="65" spans="1:22" ht="15.75" x14ac:dyDescent="0.25">
      <c r="A65" s="80">
        <v>45719</v>
      </c>
      <c r="B65" s="97">
        <v>6</v>
      </c>
      <c r="C65" s="97">
        <v>5.6</v>
      </c>
      <c r="D65" s="97">
        <v>6.1</v>
      </c>
      <c r="E65" s="97">
        <v>6.6</v>
      </c>
      <c r="F65" s="97">
        <v>5.8</v>
      </c>
      <c r="G65" s="97">
        <v>5.0999999999999996</v>
      </c>
      <c r="H65" s="97">
        <v>4.5999999999999996</v>
      </c>
      <c r="I65" s="97">
        <v>4.0999999999999996</v>
      </c>
      <c r="J65" s="97">
        <v>4.7</v>
      </c>
      <c r="K65" s="97">
        <v>5.5</v>
      </c>
      <c r="L65" s="97">
        <v>6.8</v>
      </c>
      <c r="M65" s="98">
        <v>6.1</v>
      </c>
      <c r="N65" s="91">
        <f t="shared" si="0"/>
        <v>5.6</v>
      </c>
      <c r="O65" s="120">
        <f t="shared" si="1"/>
        <v>6.8</v>
      </c>
      <c r="P65" s="121">
        <f t="shared" si="2"/>
        <v>4.0999999999999996</v>
      </c>
      <c r="Q65" s="94"/>
      <c r="R65" s="94"/>
      <c r="S65" s="118"/>
      <c r="T65" s="95"/>
      <c r="U65" s="96"/>
      <c r="V65" s="114"/>
    </row>
    <row r="66" spans="1:22" ht="15.75" x14ac:dyDescent="0.25">
      <c r="A66" s="80">
        <v>45720</v>
      </c>
      <c r="B66" s="97">
        <v>5.3</v>
      </c>
      <c r="C66" s="97">
        <v>4.5999999999999996</v>
      </c>
      <c r="D66" s="97">
        <v>5</v>
      </c>
      <c r="E66" s="97">
        <v>5.4</v>
      </c>
      <c r="F66" s="97">
        <v>5.8</v>
      </c>
      <c r="G66" s="97">
        <v>5</v>
      </c>
      <c r="H66" s="97">
        <v>4</v>
      </c>
      <c r="I66" s="97">
        <v>3.3</v>
      </c>
      <c r="J66" s="97">
        <v>3.7</v>
      </c>
      <c r="K66" s="97">
        <v>4.0999999999999996</v>
      </c>
      <c r="L66" s="97">
        <v>4.5</v>
      </c>
      <c r="M66" s="98">
        <v>4.0999999999999996</v>
      </c>
      <c r="N66" s="91">
        <f t="shared" si="0"/>
        <v>4.5999999999999996</v>
      </c>
      <c r="O66" s="120">
        <f t="shared" si="1"/>
        <v>5.8</v>
      </c>
      <c r="P66" s="121">
        <f t="shared" si="2"/>
        <v>3.3</v>
      </c>
      <c r="Q66" s="94"/>
      <c r="R66" s="94"/>
      <c r="S66" s="118"/>
      <c r="T66" s="95"/>
      <c r="U66" s="96"/>
      <c r="V66" s="114"/>
    </row>
    <row r="67" spans="1:22" ht="15.75" x14ac:dyDescent="0.25">
      <c r="A67" s="80">
        <v>45721</v>
      </c>
      <c r="B67" s="97">
        <v>3.5</v>
      </c>
      <c r="C67" s="97">
        <v>3.1</v>
      </c>
      <c r="D67" s="97">
        <v>2.7</v>
      </c>
      <c r="E67" s="97">
        <v>3.1</v>
      </c>
      <c r="F67" s="97">
        <v>3.7</v>
      </c>
      <c r="G67" s="97">
        <v>3.6</v>
      </c>
      <c r="H67" s="97">
        <v>2.4</v>
      </c>
      <c r="I67" s="97">
        <v>1.8</v>
      </c>
      <c r="J67" s="97">
        <v>2.2999999999999998</v>
      </c>
      <c r="K67" s="97">
        <v>3.3</v>
      </c>
      <c r="L67" s="97">
        <v>3.8</v>
      </c>
      <c r="M67" s="98">
        <v>3.3</v>
      </c>
      <c r="N67" s="91">
        <f t="shared" si="0"/>
        <v>3.1</v>
      </c>
      <c r="O67" s="120">
        <f t="shared" si="1"/>
        <v>3.8</v>
      </c>
      <c r="P67" s="121">
        <f t="shared" si="2"/>
        <v>1.8</v>
      </c>
      <c r="Q67" s="94"/>
      <c r="R67" s="94"/>
      <c r="S67" s="118"/>
      <c r="T67" s="95"/>
      <c r="U67" s="96"/>
      <c r="V67" s="114"/>
    </row>
    <row r="68" spans="1:22" ht="15.75" x14ac:dyDescent="0.25">
      <c r="A68" s="80">
        <v>45722</v>
      </c>
      <c r="B68" s="97">
        <v>2.6</v>
      </c>
      <c r="C68" s="97">
        <v>1.8</v>
      </c>
      <c r="D68" s="97">
        <v>1</v>
      </c>
      <c r="E68" s="97">
        <v>1.4</v>
      </c>
      <c r="F68" s="97">
        <v>2</v>
      </c>
      <c r="G68" s="97">
        <v>2.9</v>
      </c>
      <c r="H68" s="97">
        <v>2.2000000000000002</v>
      </c>
      <c r="I68" s="97">
        <v>1.7</v>
      </c>
      <c r="J68" s="97">
        <v>2</v>
      </c>
      <c r="K68" s="97">
        <v>2.6</v>
      </c>
      <c r="L68" s="97">
        <v>3.1</v>
      </c>
      <c r="M68" s="98">
        <v>2.4</v>
      </c>
      <c r="N68" s="91">
        <f t="shared" si="0"/>
        <v>2.1</v>
      </c>
      <c r="O68" s="120">
        <f t="shared" si="1"/>
        <v>3.1</v>
      </c>
      <c r="P68" s="121">
        <f t="shared" si="2"/>
        <v>1</v>
      </c>
      <c r="Q68" s="94"/>
      <c r="R68" s="94"/>
      <c r="S68" s="118"/>
      <c r="T68" s="95"/>
      <c r="U68" s="96"/>
      <c r="V68" s="114"/>
    </row>
    <row r="69" spans="1:22" ht="15.75" x14ac:dyDescent="0.25">
      <c r="A69" s="80">
        <v>45723</v>
      </c>
      <c r="B69" s="97">
        <v>1.8</v>
      </c>
      <c r="C69" s="97">
        <v>1.3</v>
      </c>
      <c r="D69" s="97">
        <v>0.9</v>
      </c>
      <c r="E69" s="97">
        <v>0.6</v>
      </c>
      <c r="F69" s="97">
        <v>1</v>
      </c>
      <c r="G69" s="97">
        <v>1.3</v>
      </c>
      <c r="H69" s="97">
        <v>1.9</v>
      </c>
      <c r="I69" s="97">
        <v>2.4</v>
      </c>
      <c r="J69" s="97">
        <v>3</v>
      </c>
      <c r="K69" s="97">
        <v>3.7</v>
      </c>
      <c r="L69" s="97">
        <v>4</v>
      </c>
      <c r="M69" s="98">
        <v>3.4</v>
      </c>
      <c r="N69" s="91">
        <f t="shared" ref="N69:N132" si="5">ROUND(AVERAGE(B69:M69),1)</f>
        <v>2.1</v>
      </c>
      <c r="O69" s="120">
        <f t="shared" ref="O69:O132" si="6">ROUND(MAX(B69:M69),1)</f>
        <v>4</v>
      </c>
      <c r="P69" s="121">
        <f t="shared" ref="P69:P132" si="7">ROUND(MIN(B69:M69),1)</f>
        <v>0.6</v>
      </c>
      <c r="Q69" s="94"/>
      <c r="R69" s="94"/>
      <c r="S69" s="118"/>
      <c r="T69" s="95"/>
      <c r="U69" s="96"/>
      <c r="V69" s="114"/>
    </row>
    <row r="70" spans="1:22" ht="15.75" x14ac:dyDescent="0.25">
      <c r="A70" s="80">
        <v>45724</v>
      </c>
      <c r="B70" s="97">
        <v>2.8</v>
      </c>
      <c r="C70" s="97">
        <v>2</v>
      </c>
      <c r="D70" s="97">
        <v>1.2</v>
      </c>
      <c r="E70" s="97">
        <v>0.6</v>
      </c>
      <c r="F70" s="97">
        <v>0.8</v>
      </c>
      <c r="G70" s="97">
        <v>1.4</v>
      </c>
      <c r="H70" s="97">
        <v>1.9</v>
      </c>
      <c r="I70" s="97">
        <v>2.2000000000000002</v>
      </c>
      <c r="J70" s="97">
        <v>2.9</v>
      </c>
      <c r="K70" s="97">
        <v>2.9</v>
      </c>
      <c r="L70" s="97">
        <v>3.2</v>
      </c>
      <c r="M70" s="98">
        <v>4.3</v>
      </c>
      <c r="N70" s="91">
        <f t="shared" si="5"/>
        <v>2.2000000000000002</v>
      </c>
      <c r="O70" s="120">
        <f t="shared" si="6"/>
        <v>4.3</v>
      </c>
      <c r="P70" s="121">
        <f t="shared" si="7"/>
        <v>0.6</v>
      </c>
      <c r="Q70" s="94"/>
      <c r="R70" s="94"/>
      <c r="S70" s="118"/>
      <c r="T70" s="95"/>
      <c r="U70" s="96"/>
      <c r="V70" s="114"/>
    </row>
    <row r="71" spans="1:22" ht="15.75" x14ac:dyDescent="0.25">
      <c r="A71" s="80">
        <v>45725</v>
      </c>
      <c r="B71" s="97">
        <v>3.8</v>
      </c>
      <c r="C71" s="97">
        <v>2</v>
      </c>
      <c r="D71" s="97">
        <v>1.3</v>
      </c>
      <c r="E71" s="97">
        <v>0.8</v>
      </c>
      <c r="F71" s="97">
        <v>0.4</v>
      </c>
      <c r="G71" s="97">
        <v>1.2</v>
      </c>
      <c r="H71" s="97">
        <v>2.4</v>
      </c>
      <c r="I71" s="97">
        <v>3.1</v>
      </c>
      <c r="J71" s="97">
        <v>3.6</v>
      </c>
      <c r="K71" s="97">
        <v>3.9</v>
      </c>
      <c r="L71" s="97">
        <v>4</v>
      </c>
      <c r="M71" s="98">
        <v>4.5</v>
      </c>
      <c r="N71" s="91">
        <f t="shared" si="5"/>
        <v>2.6</v>
      </c>
      <c r="O71" s="120">
        <f t="shared" si="6"/>
        <v>4.5</v>
      </c>
      <c r="P71" s="121">
        <f t="shared" si="7"/>
        <v>0.4</v>
      </c>
      <c r="Q71" s="94"/>
      <c r="R71" s="94"/>
      <c r="S71" s="118"/>
      <c r="T71" s="95"/>
      <c r="U71" s="96"/>
      <c r="V71" s="114"/>
    </row>
    <row r="72" spans="1:22" ht="15.75" x14ac:dyDescent="0.25">
      <c r="A72" s="80">
        <v>45726</v>
      </c>
      <c r="B72" s="97">
        <v>3.1</v>
      </c>
      <c r="C72" s="97">
        <v>2.5</v>
      </c>
      <c r="D72" s="97">
        <v>1.7</v>
      </c>
      <c r="E72" s="97">
        <v>1.3</v>
      </c>
      <c r="F72" s="97">
        <v>0.7</v>
      </c>
      <c r="G72" s="97">
        <v>1.7</v>
      </c>
      <c r="H72" s="97">
        <v>3.2</v>
      </c>
      <c r="I72" s="97">
        <v>4.5</v>
      </c>
      <c r="J72" s="97" t="s">
        <v>27</v>
      </c>
      <c r="K72" s="97">
        <v>4.8</v>
      </c>
      <c r="L72" s="97">
        <v>5</v>
      </c>
      <c r="M72" s="98">
        <v>5.2</v>
      </c>
      <c r="N72" s="91">
        <f t="shared" si="5"/>
        <v>3.1</v>
      </c>
      <c r="O72" s="120">
        <f t="shared" si="6"/>
        <v>5.2</v>
      </c>
      <c r="P72" s="121">
        <f t="shared" si="7"/>
        <v>0.7</v>
      </c>
      <c r="Q72" s="94"/>
      <c r="R72" s="94"/>
      <c r="S72" s="118"/>
      <c r="T72" s="95"/>
      <c r="U72" s="96"/>
      <c r="V72" s="114"/>
    </row>
    <row r="73" spans="1:22" ht="15.75" x14ac:dyDescent="0.25">
      <c r="A73" s="80">
        <v>45727</v>
      </c>
      <c r="B73" s="97">
        <v>5.3</v>
      </c>
      <c r="C73" s="97">
        <v>4.5</v>
      </c>
      <c r="D73" s="97">
        <v>3.5</v>
      </c>
      <c r="E73" s="97">
        <v>2.9</v>
      </c>
      <c r="F73" s="97">
        <v>1.9</v>
      </c>
      <c r="G73" s="97">
        <v>1.4</v>
      </c>
      <c r="H73" s="97">
        <v>2.7</v>
      </c>
      <c r="I73" s="97">
        <v>5</v>
      </c>
      <c r="J73" s="97">
        <v>6.2</v>
      </c>
      <c r="K73" s="97">
        <v>5.2</v>
      </c>
      <c r="L73" s="97">
        <v>4.8</v>
      </c>
      <c r="M73" s="98">
        <v>5</v>
      </c>
      <c r="N73" s="91">
        <f t="shared" si="5"/>
        <v>4</v>
      </c>
      <c r="O73" s="120">
        <f t="shared" si="6"/>
        <v>6.2</v>
      </c>
      <c r="P73" s="121">
        <f t="shared" si="7"/>
        <v>1.4</v>
      </c>
      <c r="Q73" s="94"/>
      <c r="R73" s="94"/>
      <c r="S73" s="118"/>
      <c r="T73" s="95"/>
      <c r="U73" s="96"/>
      <c r="V73" s="114"/>
    </row>
    <row r="74" spans="1:22" ht="15.75" x14ac:dyDescent="0.25">
      <c r="A74" s="80">
        <v>45728</v>
      </c>
      <c r="B74" s="97">
        <v>5.2</v>
      </c>
      <c r="C74" s="97">
        <v>5.7</v>
      </c>
      <c r="D74" s="97">
        <v>4.5</v>
      </c>
      <c r="E74" s="97">
        <v>3.9</v>
      </c>
      <c r="F74" s="97">
        <v>2.2999999999999998</v>
      </c>
      <c r="G74" s="97">
        <v>1.9</v>
      </c>
      <c r="H74" s="97">
        <v>2.9</v>
      </c>
      <c r="I74" s="97">
        <v>4</v>
      </c>
      <c r="J74" s="97">
        <v>4.5</v>
      </c>
      <c r="K74" s="97">
        <v>6.3</v>
      </c>
      <c r="L74" s="97">
        <v>5.5</v>
      </c>
      <c r="M74" s="98">
        <v>4.8</v>
      </c>
      <c r="N74" s="91">
        <f t="shared" si="5"/>
        <v>4.3</v>
      </c>
      <c r="O74" s="120">
        <f t="shared" si="6"/>
        <v>6.3</v>
      </c>
      <c r="P74" s="121">
        <f t="shared" si="7"/>
        <v>1.9</v>
      </c>
      <c r="Q74" s="94"/>
      <c r="R74" s="94"/>
      <c r="S74" s="118"/>
      <c r="T74" s="95"/>
      <c r="U74" s="96"/>
      <c r="V74" s="114"/>
    </row>
    <row r="75" spans="1:22" ht="15.75" x14ac:dyDescent="0.25">
      <c r="A75" s="80">
        <v>45729</v>
      </c>
      <c r="B75" s="97">
        <v>4.5999999999999996</v>
      </c>
      <c r="C75" s="97">
        <v>6.1</v>
      </c>
      <c r="D75" s="97">
        <v>5.0999999999999996</v>
      </c>
      <c r="E75" s="97">
        <v>4.9000000000000004</v>
      </c>
      <c r="F75" s="97">
        <v>3.7</v>
      </c>
      <c r="G75" s="97">
        <v>2.9</v>
      </c>
      <c r="H75" s="97">
        <v>4.2</v>
      </c>
      <c r="I75" s="97">
        <v>5.5</v>
      </c>
      <c r="J75" s="97">
        <v>6.2</v>
      </c>
      <c r="K75" s="97">
        <v>6.8</v>
      </c>
      <c r="L75" s="97">
        <v>6</v>
      </c>
      <c r="M75" s="98">
        <v>5.0999999999999996</v>
      </c>
      <c r="N75" s="91">
        <f t="shared" si="5"/>
        <v>5.0999999999999996</v>
      </c>
      <c r="O75" s="120">
        <f t="shared" si="6"/>
        <v>6.8</v>
      </c>
      <c r="P75" s="121">
        <f t="shared" si="7"/>
        <v>2.9</v>
      </c>
      <c r="Q75" s="94"/>
      <c r="R75" s="94"/>
      <c r="S75" s="118"/>
      <c r="T75" s="95"/>
      <c r="U75" s="96"/>
      <c r="V75" s="114"/>
    </row>
    <row r="76" spans="1:22" ht="15.75" x14ac:dyDescent="0.25">
      <c r="A76" s="80">
        <v>45730</v>
      </c>
      <c r="B76" s="97">
        <v>5.4</v>
      </c>
      <c r="C76" s="97">
        <v>5.7</v>
      </c>
      <c r="D76" s="97">
        <v>6</v>
      </c>
      <c r="E76" s="97">
        <v>4.3</v>
      </c>
      <c r="F76" s="97">
        <v>3.6</v>
      </c>
      <c r="G76" s="97">
        <v>3.1</v>
      </c>
      <c r="H76" s="97">
        <v>2.6</v>
      </c>
      <c r="I76" s="97">
        <v>3.9</v>
      </c>
      <c r="J76" s="97">
        <v>5.5</v>
      </c>
      <c r="K76" s="97">
        <v>5.8</v>
      </c>
      <c r="L76" s="97">
        <v>5.2</v>
      </c>
      <c r="M76" s="98">
        <v>4.7</v>
      </c>
      <c r="N76" s="91">
        <f t="shared" si="5"/>
        <v>4.7</v>
      </c>
      <c r="O76" s="120">
        <f t="shared" si="6"/>
        <v>6</v>
      </c>
      <c r="P76" s="121">
        <f t="shared" si="7"/>
        <v>2.6</v>
      </c>
      <c r="Q76" s="94"/>
      <c r="R76" s="94"/>
      <c r="S76" s="118"/>
      <c r="T76" s="95"/>
      <c r="U76" s="96"/>
      <c r="V76" s="114"/>
    </row>
    <row r="77" spans="1:22" ht="15.75" x14ac:dyDescent="0.25">
      <c r="A77" s="80">
        <v>45731</v>
      </c>
      <c r="B77" s="97">
        <v>4.2</v>
      </c>
      <c r="C77" s="97">
        <v>5.0999999999999996</v>
      </c>
      <c r="D77" s="97">
        <v>5.7</v>
      </c>
      <c r="E77" s="97">
        <v>4.5999999999999996</v>
      </c>
      <c r="F77" s="97">
        <v>3.8</v>
      </c>
      <c r="G77" s="97">
        <v>2.6</v>
      </c>
      <c r="H77" s="97">
        <v>2.1</v>
      </c>
      <c r="I77" s="97">
        <v>3.4</v>
      </c>
      <c r="J77" s="97">
        <v>4.7</v>
      </c>
      <c r="K77" s="97">
        <v>5</v>
      </c>
      <c r="L77" s="97">
        <v>4.5</v>
      </c>
      <c r="M77" s="98">
        <v>3.9</v>
      </c>
      <c r="N77" s="91">
        <f t="shared" si="5"/>
        <v>4.0999999999999996</v>
      </c>
      <c r="O77" s="120">
        <f t="shared" si="6"/>
        <v>5.7</v>
      </c>
      <c r="P77" s="121">
        <f t="shared" si="7"/>
        <v>2.1</v>
      </c>
      <c r="Q77" s="94"/>
      <c r="R77" s="94"/>
      <c r="S77" s="118"/>
      <c r="T77" s="95"/>
      <c r="U77" s="96"/>
      <c r="V77" s="114"/>
    </row>
    <row r="78" spans="1:22" ht="15.75" x14ac:dyDescent="0.25">
      <c r="A78" s="80">
        <v>45732</v>
      </c>
      <c r="B78" s="97">
        <v>3.1</v>
      </c>
      <c r="C78" s="97">
        <v>3.5</v>
      </c>
      <c r="D78" s="97">
        <v>3.9</v>
      </c>
      <c r="E78" s="97">
        <v>4.3</v>
      </c>
      <c r="F78" s="97">
        <v>2.8</v>
      </c>
      <c r="G78" s="97">
        <v>2.1</v>
      </c>
      <c r="H78" s="97">
        <v>1.6</v>
      </c>
      <c r="I78" s="97">
        <v>2</v>
      </c>
      <c r="J78" s="97">
        <v>3.2</v>
      </c>
      <c r="K78" s="97">
        <v>3.8</v>
      </c>
      <c r="L78" s="97">
        <v>3.3</v>
      </c>
      <c r="M78" s="98">
        <v>2.8</v>
      </c>
      <c r="N78" s="91">
        <f t="shared" si="5"/>
        <v>3</v>
      </c>
      <c r="O78" s="120">
        <f t="shared" si="6"/>
        <v>4.3</v>
      </c>
      <c r="P78" s="121">
        <f t="shared" si="7"/>
        <v>1.6</v>
      </c>
      <c r="Q78" s="94"/>
      <c r="R78" s="94"/>
      <c r="S78" s="118"/>
      <c r="T78" s="95"/>
      <c r="U78" s="96"/>
      <c r="V78" s="114"/>
    </row>
    <row r="79" spans="1:22" ht="15.75" x14ac:dyDescent="0.25">
      <c r="A79" s="80">
        <v>45733</v>
      </c>
      <c r="B79" s="97">
        <v>2.2000000000000002</v>
      </c>
      <c r="C79" s="97">
        <v>2.6</v>
      </c>
      <c r="D79" s="97">
        <v>3.1</v>
      </c>
      <c r="E79" s="97">
        <v>3.5</v>
      </c>
      <c r="F79" s="97">
        <v>2.7</v>
      </c>
      <c r="G79" s="97">
        <v>2.1</v>
      </c>
      <c r="H79" s="97">
        <v>1.2</v>
      </c>
      <c r="I79" s="97">
        <v>1.6</v>
      </c>
      <c r="J79" s="97">
        <v>2.2999999999999998</v>
      </c>
      <c r="K79" s="97">
        <v>3</v>
      </c>
      <c r="L79" s="97">
        <v>2.5</v>
      </c>
      <c r="M79" s="98">
        <v>2</v>
      </c>
      <c r="N79" s="91">
        <f t="shared" si="5"/>
        <v>2.4</v>
      </c>
      <c r="O79" s="120">
        <f t="shared" si="6"/>
        <v>3.5</v>
      </c>
      <c r="P79" s="121">
        <f t="shared" si="7"/>
        <v>1.2</v>
      </c>
      <c r="Q79" s="94"/>
      <c r="R79" s="94"/>
      <c r="S79" s="118"/>
      <c r="T79" s="95"/>
      <c r="U79" s="96"/>
      <c r="V79" s="114"/>
    </row>
    <row r="80" spans="1:22" ht="15.75" x14ac:dyDescent="0.25">
      <c r="A80" s="80">
        <v>45734</v>
      </c>
      <c r="B80" s="97">
        <v>1.8</v>
      </c>
      <c r="C80" s="97">
        <v>1.5</v>
      </c>
      <c r="D80" s="97">
        <v>1.9</v>
      </c>
      <c r="E80" s="97">
        <v>2.2999999999999998</v>
      </c>
      <c r="F80" s="97">
        <v>2.1</v>
      </c>
      <c r="G80" s="97">
        <v>1.7</v>
      </c>
      <c r="H80" s="97">
        <v>1.4</v>
      </c>
      <c r="I80" s="97">
        <v>1.2</v>
      </c>
      <c r="J80" s="97">
        <v>2</v>
      </c>
      <c r="K80" s="97">
        <v>2.6</v>
      </c>
      <c r="L80" s="97">
        <v>3</v>
      </c>
      <c r="M80" s="98">
        <v>2.2999999999999998</v>
      </c>
      <c r="N80" s="91">
        <f t="shared" si="5"/>
        <v>2</v>
      </c>
      <c r="O80" s="120">
        <f t="shared" si="6"/>
        <v>3</v>
      </c>
      <c r="P80" s="121">
        <f t="shared" si="7"/>
        <v>1.2</v>
      </c>
      <c r="Q80" s="94"/>
      <c r="R80" s="94"/>
      <c r="S80" s="118"/>
      <c r="T80" s="95"/>
      <c r="U80" s="96"/>
      <c r="V80" s="114"/>
    </row>
    <row r="81" spans="1:22" ht="15.75" x14ac:dyDescent="0.25">
      <c r="A81" s="80">
        <v>45735</v>
      </c>
      <c r="B81" s="97">
        <v>2</v>
      </c>
      <c r="C81" s="97">
        <v>1.7</v>
      </c>
      <c r="D81" s="97">
        <v>2</v>
      </c>
      <c r="E81" s="97">
        <v>2.4</v>
      </c>
      <c r="F81" s="97">
        <v>2.6</v>
      </c>
      <c r="G81" s="97">
        <v>1.9</v>
      </c>
      <c r="H81" s="97">
        <v>1.4</v>
      </c>
      <c r="I81" s="97">
        <v>1</v>
      </c>
      <c r="J81" s="97">
        <v>1.3</v>
      </c>
      <c r="K81" s="97">
        <v>2</v>
      </c>
      <c r="L81" s="97">
        <v>2.5</v>
      </c>
      <c r="M81" s="98">
        <v>2</v>
      </c>
      <c r="N81" s="91">
        <f t="shared" si="5"/>
        <v>1.9</v>
      </c>
      <c r="O81" s="120">
        <f t="shared" si="6"/>
        <v>2.6</v>
      </c>
      <c r="P81" s="121">
        <f t="shared" si="7"/>
        <v>1</v>
      </c>
      <c r="Q81" s="94"/>
      <c r="R81" s="94"/>
      <c r="S81" s="118"/>
      <c r="T81" s="95"/>
      <c r="U81" s="96"/>
      <c r="V81" s="114"/>
    </row>
    <row r="82" spans="1:22" ht="15.75" x14ac:dyDescent="0.25">
      <c r="A82" s="80">
        <v>45736</v>
      </c>
      <c r="B82" s="97">
        <v>1.5</v>
      </c>
      <c r="C82" s="97">
        <v>0.9</v>
      </c>
      <c r="D82" s="97">
        <v>1.2</v>
      </c>
      <c r="E82" s="97">
        <v>1.5</v>
      </c>
      <c r="F82" s="97">
        <v>1.6</v>
      </c>
      <c r="G82" s="97">
        <v>2</v>
      </c>
      <c r="H82" s="97">
        <v>1.3</v>
      </c>
      <c r="I82" s="97">
        <v>1</v>
      </c>
      <c r="J82" s="97">
        <v>1.2</v>
      </c>
      <c r="K82" s="97">
        <v>1.6</v>
      </c>
      <c r="L82" s="97">
        <v>2.1</v>
      </c>
      <c r="M82" s="98">
        <v>1.8</v>
      </c>
      <c r="N82" s="91">
        <f t="shared" si="5"/>
        <v>1.5</v>
      </c>
      <c r="O82" s="120">
        <f t="shared" si="6"/>
        <v>2.1</v>
      </c>
      <c r="P82" s="121">
        <f t="shared" si="7"/>
        <v>0.9</v>
      </c>
      <c r="Q82" s="94"/>
      <c r="R82" s="94"/>
      <c r="S82" s="118"/>
      <c r="T82" s="95"/>
      <c r="U82" s="96"/>
      <c r="V82" s="114"/>
    </row>
    <row r="83" spans="1:22" ht="15.75" x14ac:dyDescent="0.25">
      <c r="A83" s="80">
        <v>45737</v>
      </c>
      <c r="B83" s="97">
        <v>1.3</v>
      </c>
      <c r="C83" s="97">
        <v>0.9</v>
      </c>
      <c r="D83" s="97">
        <v>0.6</v>
      </c>
      <c r="E83" s="97">
        <v>0.9</v>
      </c>
      <c r="F83" s="97">
        <v>1.4</v>
      </c>
      <c r="G83" s="97">
        <v>2.2000000000000002</v>
      </c>
      <c r="H83" s="97">
        <v>1.7</v>
      </c>
      <c r="I83" s="97">
        <v>1.2</v>
      </c>
      <c r="J83" s="97">
        <v>1.6</v>
      </c>
      <c r="K83" s="97">
        <v>2</v>
      </c>
      <c r="L83" s="97">
        <v>2.4</v>
      </c>
      <c r="M83" s="98">
        <v>1.8</v>
      </c>
      <c r="N83" s="91">
        <f t="shared" si="5"/>
        <v>1.5</v>
      </c>
      <c r="O83" s="120">
        <f t="shared" si="6"/>
        <v>2.4</v>
      </c>
      <c r="P83" s="121">
        <f t="shared" si="7"/>
        <v>0.6</v>
      </c>
      <c r="Q83" s="94"/>
      <c r="R83" s="94"/>
      <c r="S83" s="118"/>
      <c r="T83" s="95"/>
      <c r="U83" s="96"/>
      <c r="V83" s="114"/>
    </row>
    <row r="84" spans="1:22" ht="15.75" x14ac:dyDescent="0.25">
      <c r="A84" s="80">
        <v>45738</v>
      </c>
      <c r="B84" s="97">
        <v>1.5</v>
      </c>
      <c r="C84" s="97">
        <v>1.2</v>
      </c>
      <c r="D84" s="97">
        <v>0.9</v>
      </c>
      <c r="E84" s="97">
        <v>1.3</v>
      </c>
      <c r="F84" s="97">
        <v>1.8</v>
      </c>
      <c r="G84" s="97">
        <v>1.8</v>
      </c>
      <c r="H84" s="97">
        <v>2</v>
      </c>
      <c r="I84" s="97">
        <v>2.2000000000000002</v>
      </c>
      <c r="J84" s="97">
        <v>3.2</v>
      </c>
      <c r="K84" s="97">
        <v>3.6</v>
      </c>
      <c r="L84" s="97">
        <v>4</v>
      </c>
      <c r="M84" s="98">
        <v>3.6</v>
      </c>
      <c r="N84" s="91">
        <f t="shared" si="5"/>
        <v>2.2999999999999998</v>
      </c>
      <c r="O84" s="120">
        <f t="shared" si="6"/>
        <v>4</v>
      </c>
      <c r="P84" s="121">
        <f t="shared" si="7"/>
        <v>0.9</v>
      </c>
      <c r="Q84" s="94"/>
      <c r="R84" s="94"/>
      <c r="S84" s="118"/>
      <c r="T84" s="95"/>
      <c r="U84" s="96"/>
      <c r="V84" s="114"/>
    </row>
    <row r="85" spans="1:22" ht="15.75" x14ac:dyDescent="0.25">
      <c r="A85" s="80">
        <v>45739</v>
      </c>
      <c r="B85" s="97">
        <v>3</v>
      </c>
      <c r="C85" s="97">
        <v>2.2999999999999998</v>
      </c>
      <c r="D85" s="97">
        <v>1.5</v>
      </c>
      <c r="E85" s="97">
        <v>2</v>
      </c>
      <c r="F85" s="97">
        <v>2.5</v>
      </c>
      <c r="G85" s="97">
        <v>3.2</v>
      </c>
      <c r="H85" s="97">
        <v>3.5</v>
      </c>
      <c r="I85" s="97">
        <v>4.0999999999999996</v>
      </c>
      <c r="J85" s="97">
        <v>4.5999999999999996</v>
      </c>
      <c r="K85" s="97">
        <v>4.8</v>
      </c>
      <c r="L85" s="97">
        <v>5.2</v>
      </c>
      <c r="M85" s="98">
        <v>5.6</v>
      </c>
      <c r="N85" s="91">
        <f t="shared" si="5"/>
        <v>3.5</v>
      </c>
      <c r="O85" s="120">
        <f t="shared" si="6"/>
        <v>5.6</v>
      </c>
      <c r="P85" s="121">
        <f t="shared" si="7"/>
        <v>1.5</v>
      </c>
      <c r="Q85" s="94"/>
      <c r="R85" s="94"/>
      <c r="S85" s="118"/>
      <c r="T85" s="95"/>
      <c r="U85" s="96"/>
      <c r="V85" s="114"/>
    </row>
    <row r="86" spans="1:22" ht="15.75" x14ac:dyDescent="0.25">
      <c r="A86" s="80">
        <v>45740</v>
      </c>
      <c r="B86" s="97">
        <v>5</v>
      </c>
      <c r="C86" s="97">
        <v>4</v>
      </c>
      <c r="D86" s="97">
        <v>3.2</v>
      </c>
      <c r="E86" s="97">
        <v>2.7</v>
      </c>
      <c r="F86" s="97">
        <v>3</v>
      </c>
      <c r="G86" s="97">
        <v>3.9</v>
      </c>
      <c r="H86" s="97">
        <v>5</v>
      </c>
      <c r="I86" s="97">
        <v>5.9</v>
      </c>
      <c r="J86" s="97">
        <v>6.3</v>
      </c>
      <c r="K86" s="97">
        <v>6.1</v>
      </c>
      <c r="L86" s="97">
        <v>5.9</v>
      </c>
      <c r="M86" s="98">
        <v>5.5</v>
      </c>
      <c r="N86" s="91">
        <f t="shared" si="5"/>
        <v>4.7</v>
      </c>
      <c r="O86" s="120">
        <f t="shared" si="6"/>
        <v>6.3</v>
      </c>
      <c r="P86" s="121">
        <f t="shared" si="7"/>
        <v>2.7</v>
      </c>
      <c r="Q86" s="94"/>
      <c r="R86" s="94"/>
      <c r="S86" s="118"/>
      <c r="T86" s="95"/>
      <c r="U86" s="96"/>
      <c r="V86" s="114"/>
    </row>
    <row r="87" spans="1:22" ht="15.75" x14ac:dyDescent="0.25">
      <c r="A87" s="80">
        <v>45741</v>
      </c>
      <c r="B87" s="97">
        <v>5</v>
      </c>
      <c r="C87" s="97">
        <v>4.5999999999999996</v>
      </c>
      <c r="D87" s="97">
        <v>4.0999999999999996</v>
      </c>
      <c r="E87" s="97">
        <v>3.7</v>
      </c>
      <c r="F87" s="97">
        <v>3.5</v>
      </c>
      <c r="G87" s="97">
        <v>4.8</v>
      </c>
      <c r="H87" s="97">
        <v>6.5</v>
      </c>
      <c r="I87" s="97">
        <v>8</v>
      </c>
      <c r="J87" s="97">
        <v>8.6</v>
      </c>
      <c r="K87" s="97">
        <v>7</v>
      </c>
      <c r="L87" s="97">
        <v>5.8</v>
      </c>
      <c r="M87" s="98">
        <v>6.3</v>
      </c>
      <c r="N87" s="91">
        <f t="shared" si="5"/>
        <v>5.7</v>
      </c>
      <c r="O87" s="120">
        <f t="shared" si="6"/>
        <v>8.6</v>
      </c>
      <c r="P87" s="121">
        <f t="shared" si="7"/>
        <v>3.5</v>
      </c>
      <c r="Q87" s="94"/>
      <c r="R87" s="94"/>
      <c r="S87" s="118"/>
      <c r="T87" s="95"/>
      <c r="U87" s="96"/>
      <c r="V87" s="114"/>
    </row>
    <row r="88" spans="1:22" ht="15.75" x14ac:dyDescent="0.25">
      <c r="A88" s="80">
        <v>45742</v>
      </c>
      <c r="B88" s="97">
        <v>7</v>
      </c>
      <c r="C88" s="97">
        <v>7.6</v>
      </c>
      <c r="D88" s="97">
        <v>6.5</v>
      </c>
      <c r="E88" s="97">
        <v>5.8</v>
      </c>
      <c r="F88" s="97">
        <v>4.7</v>
      </c>
      <c r="G88" s="97">
        <v>6.1</v>
      </c>
      <c r="H88" s="97">
        <v>8.5</v>
      </c>
      <c r="I88" s="97">
        <v>10</v>
      </c>
      <c r="J88" s="97">
        <v>10.7</v>
      </c>
      <c r="K88" s="97">
        <v>8.1</v>
      </c>
      <c r="L88" s="97">
        <v>7.5</v>
      </c>
      <c r="M88" s="98">
        <v>8.1999999999999993</v>
      </c>
      <c r="N88" s="91">
        <f t="shared" si="5"/>
        <v>7.6</v>
      </c>
      <c r="O88" s="120">
        <f t="shared" si="6"/>
        <v>10.7</v>
      </c>
      <c r="P88" s="121">
        <f t="shared" si="7"/>
        <v>4.7</v>
      </c>
      <c r="Q88" s="94"/>
      <c r="R88" s="94"/>
      <c r="S88" s="118"/>
      <c r="T88" s="95"/>
      <c r="U88" s="96"/>
      <c r="V88" s="114"/>
    </row>
    <row r="89" spans="1:22" ht="15.75" x14ac:dyDescent="0.25">
      <c r="A89" s="80">
        <v>45743</v>
      </c>
      <c r="B89" s="97">
        <v>9.1999999999999993</v>
      </c>
      <c r="C89" s="97">
        <v>10</v>
      </c>
      <c r="D89" s="97">
        <v>8.5</v>
      </c>
      <c r="E89" s="97">
        <v>7.9</v>
      </c>
      <c r="F89" s="97">
        <v>5.9</v>
      </c>
      <c r="G89" s="97">
        <v>5.0999999999999996</v>
      </c>
      <c r="H89" s="97">
        <v>7.1</v>
      </c>
      <c r="I89" s="97">
        <v>10.199999999999999</v>
      </c>
      <c r="J89" s="97">
        <v>10.9</v>
      </c>
      <c r="K89" s="97">
        <v>9.9</v>
      </c>
      <c r="L89" s="97">
        <v>9</v>
      </c>
      <c r="M89" s="98">
        <v>8</v>
      </c>
      <c r="N89" s="91">
        <f t="shared" si="5"/>
        <v>8.5</v>
      </c>
      <c r="O89" s="120">
        <f t="shared" si="6"/>
        <v>10.9</v>
      </c>
      <c r="P89" s="121">
        <f t="shared" si="7"/>
        <v>5.0999999999999996</v>
      </c>
      <c r="Q89" s="94"/>
      <c r="R89" s="94"/>
      <c r="S89" s="118"/>
      <c r="T89" s="95"/>
      <c r="U89" s="96"/>
      <c r="V89" s="114"/>
    </row>
    <row r="90" spans="1:22" ht="15.75" x14ac:dyDescent="0.25">
      <c r="A90" s="80">
        <v>45744</v>
      </c>
      <c r="B90" s="97">
        <v>9.1999999999999993</v>
      </c>
      <c r="C90" s="97">
        <v>10.5</v>
      </c>
      <c r="D90" s="97">
        <v>11.2</v>
      </c>
      <c r="E90" s="97">
        <v>9.8000000000000007</v>
      </c>
      <c r="F90" s="97">
        <v>7.4</v>
      </c>
      <c r="G90" s="97">
        <v>5.4</v>
      </c>
      <c r="H90" s="97">
        <v>7.7</v>
      </c>
      <c r="I90" s="97">
        <v>9.4</v>
      </c>
      <c r="J90" s="97">
        <v>10.6</v>
      </c>
      <c r="K90" s="97">
        <v>10</v>
      </c>
      <c r="L90" s="97">
        <v>8.5</v>
      </c>
      <c r="M90" s="98">
        <v>7.7</v>
      </c>
      <c r="N90" s="91">
        <f t="shared" si="5"/>
        <v>9</v>
      </c>
      <c r="O90" s="120">
        <f t="shared" si="6"/>
        <v>11.2</v>
      </c>
      <c r="P90" s="121">
        <f t="shared" si="7"/>
        <v>5.4</v>
      </c>
      <c r="Q90" s="94"/>
      <c r="R90" s="94"/>
      <c r="S90" s="118"/>
      <c r="T90" s="95"/>
      <c r="U90" s="96"/>
      <c r="V90" s="114"/>
    </row>
    <row r="91" spans="1:22" ht="15.75" x14ac:dyDescent="0.25">
      <c r="A91" s="80">
        <v>45745</v>
      </c>
      <c r="B91" s="97">
        <v>8.4</v>
      </c>
      <c r="C91" s="97">
        <v>9.5</v>
      </c>
      <c r="D91" s="97">
        <v>10.8</v>
      </c>
      <c r="E91" s="97">
        <v>8.8000000000000007</v>
      </c>
      <c r="F91" s="97">
        <v>8.5</v>
      </c>
      <c r="G91" s="97">
        <v>7.3</v>
      </c>
      <c r="H91" s="97">
        <v>6.3</v>
      </c>
      <c r="I91" s="97">
        <v>8</v>
      </c>
      <c r="J91" s="97">
        <v>9.1</v>
      </c>
      <c r="K91" s="97">
        <v>9.5</v>
      </c>
      <c r="L91" s="97">
        <v>8.5</v>
      </c>
      <c r="M91" s="98">
        <v>7.7</v>
      </c>
      <c r="N91" s="91">
        <f t="shared" si="5"/>
        <v>8.5</v>
      </c>
      <c r="O91" s="120">
        <f t="shared" si="6"/>
        <v>10.8</v>
      </c>
      <c r="P91" s="121">
        <f t="shared" si="7"/>
        <v>6.3</v>
      </c>
      <c r="Q91" s="94"/>
      <c r="R91" s="94"/>
      <c r="S91" s="118"/>
      <c r="T91" s="95"/>
      <c r="U91" s="96"/>
      <c r="V91" s="114"/>
    </row>
    <row r="92" spans="1:22" ht="15.75" x14ac:dyDescent="0.25">
      <c r="A92" s="80">
        <v>45746</v>
      </c>
      <c r="B92" s="97">
        <v>7</v>
      </c>
      <c r="C92" s="97">
        <v>7.8</v>
      </c>
      <c r="D92" s="97">
        <v>8.4</v>
      </c>
      <c r="E92" s="97">
        <v>9.1999999999999993</v>
      </c>
      <c r="F92" s="97">
        <v>7.4</v>
      </c>
      <c r="G92" s="97">
        <v>9.1999999999999993</v>
      </c>
      <c r="H92" s="97">
        <v>5.8</v>
      </c>
      <c r="I92" s="97">
        <v>7.6</v>
      </c>
      <c r="J92" s="97">
        <v>8.6</v>
      </c>
      <c r="K92" s="97">
        <v>8.8000000000000007</v>
      </c>
      <c r="L92" s="97">
        <v>7.8</v>
      </c>
      <c r="M92" s="98">
        <v>7</v>
      </c>
      <c r="N92" s="91">
        <f t="shared" si="5"/>
        <v>7.9</v>
      </c>
      <c r="O92" s="120">
        <f t="shared" si="6"/>
        <v>9.1999999999999993</v>
      </c>
      <c r="P92" s="121">
        <f t="shared" si="7"/>
        <v>5.8</v>
      </c>
      <c r="Q92" s="94"/>
      <c r="R92" s="94"/>
      <c r="S92" s="118"/>
      <c r="T92" s="95"/>
      <c r="U92" s="96"/>
      <c r="V92" s="114"/>
    </row>
    <row r="93" spans="1:22" ht="16.5" thickBot="1" x14ac:dyDescent="0.3">
      <c r="A93" s="80">
        <v>45747</v>
      </c>
      <c r="B93" s="104">
        <v>6.3</v>
      </c>
      <c r="C93" s="104">
        <v>7.2</v>
      </c>
      <c r="D93" s="104">
        <v>8</v>
      </c>
      <c r="E93" s="104">
        <v>8.9</v>
      </c>
      <c r="F93" s="104">
        <v>8</v>
      </c>
      <c r="G93" s="104">
        <v>6.7</v>
      </c>
      <c r="H93" s="104">
        <v>5.5</v>
      </c>
      <c r="I93" s="104">
        <v>6.9</v>
      </c>
      <c r="J93" s="104">
        <v>8</v>
      </c>
      <c r="K93" s="104">
        <v>8.3000000000000007</v>
      </c>
      <c r="L93" s="104">
        <v>7.6</v>
      </c>
      <c r="M93" s="105">
        <v>6.2</v>
      </c>
      <c r="N93" s="106">
        <f t="shared" si="5"/>
        <v>7.3</v>
      </c>
      <c r="O93" s="130">
        <f t="shared" si="6"/>
        <v>8.9</v>
      </c>
      <c r="P93" s="131">
        <f t="shared" si="7"/>
        <v>5.5</v>
      </c>
      <c r="Q93" s="107"/>
      <c r="R93" s="107"/>
      <c r="S93" s="111"/>
      <c r="T93" s="112"/>
      <c r="U93" s="113"/>
      <c r="V93" s="114"/>
    </row>
    <row r="94" spans="1:22" ht="16.5" thickTop="1" x14ac:dyDescent="0.25">
      <c r="A94" s="80">
        <v>45748</v>
      </c>
      <c r="B94" s="89">
        <v>5.7</v>
      </c>
      <c r="C94" s="89">
        <v>4.8</v>
      </c>
      <c r="D94" s="89">
        <v>6.8</v>
      </c>
      <c r="E94" s="89">
        <v>7.4</v>
      </c>
      <c r="F94" s="89">
        <v>7.7</v>
      </c>
      <c r="G94" s="89">
        <v>6.7</v>
      </c>
      <c r="H94" s="89">
        <v>5.2</v>
      </c>
      <c r="I94" s="89">
        <v>6.5</v>
      </c>
      <c r="J94" s="89">
        <v>7.8</v>
      </c>
      <c r="K94" s="89">
        <v>8.5</v>
      </c>
      <c r="L94" s="89">
        <v>7.7</v>
      </c>
      <c r="M94" s="90">
        <v>6.2</v>
      </c>
      <c r="N94" s="115">
        <f t="shared" si="5"/>
        <v>6.8</v>
      </c>
      <c r="O94" s="132">
        <f t="shared" si="6"/>
        <v>8.5</v>
      </c>
      <c r="P94" s="133">
        <f t="shared" si="7"/>
        <v>4.8</v>
      </c>
      <c r="Q94" s="94"/>
      <c r="R94" s="94"/>
      <c r="S94" s="117"/>
      <c r="T94" s="86"/>
      <c r="U94" s="87"/>
      <c r="V94" s="114"/>
    </row>
    <row r="95" spans="1:22" ht="15.75" x14ac:dyDescent="0.25">
      <c r="A95" s="80">
        <v>45749</v>
      </c>
      <c r="B95" s="97">
        <v>5.4</v>
      </c>
      <c r="C95" s="97">
        <v>4.8</v>
      </c>
      <c r="D95" s="97">
        <v>5.5</v>
      </c>
      <c r="E95" s="97">
        <v>6.9</v>
      </c>
      <c r="F95" s="97">
        <v>7.2</v>
      </c>
      <c r="G95" s="97">
        <v>6.2</v>
      </c>
      <c r="H95" s="97">
        <v>5.3</v>
      </c>
      <c r="I95" s="97">
        <v>6.1</v>
      </c>
      <c r="J95" s="97">
        <v>7.6</v>
      </c>
      <c r="K95" s="97">
        <v>8.3000000000000007</v>
      </c>
      <c r="L95" s="97">
        <v>7.3</v>
      </c>
      <c r="M95" s="98">
        <v>6.2</v>
      </c>
      <c r="N95" s="91">
        <f t="shared" si="5"/>
        <v>6.4</v>
      </c>
      <c r="O95" s="120">
        <f t="shared" si="6"/>
        <v>8.3000000000000007</v>
      </c>
      <c r="P95" s="121">
        <f t="shared" si="7"/>
        <v>4.8</v>
      </c>
      <c r="Q95" s="94"/>
      <c r="R95" s="94"/>
      <c r="S95" s="118"/>
      <c r="T95" s="95"/>
      <c r="U95" s="96"/>
      <c r="V95" s="114"/>
    </row>
    <row r="96" spans="1:22" ht="15.75" x14ac:dyDescent="0.25">
      <c r="A96" s="80">
        <v>45750</v>
      </c>
      <c r="B96" s="97">
        <v>5</v>
      </c>
      <c r="C96" s="97">
        <v>4.4000000000000004</v>
      </c>
      <c r="D96" s="97">
        <v>5.4</v>
      </c>
      <c r="E96" s="97">
        <v>6.2</v>
      </c>
      <c r="F96" s="97">
        <v>6.8</v>
      </c>
      <c r="G96" s="97">
        <v>6</v>
      </c>
      <c r="H96" s="97">
        <v>5.2</v>
      </c>
      <c r="I96" s="97">
        <v>4.5999999999999996</v>
      </c>
      <c r="J96" s="97">
        <v>5.4</v>
      </c>
      <c r="K96" s="97">
        <v>6.7</v>
      </c>
      <c r="L96" s="97">
        <v>7.5</v>
      </c>
      <c r="M96" s="98">
        <v>6.8</v>
      </c>
      <c r="N96" s="91">
        <f t="shared" si="5"/>
        <v>5.8</v>
      </c>
      <c r="O96" s="120">
        <f t="shared" si="6"/>
        <v>7.5</v>
      </c>
      <c r="P96" s="121">
        <f t="shared" si="7"/>
        <v>4.4000000000000004</v>
      </c>
      <c r="Q96" s="94"/>
      <c r="R96" s="94"/>
      <c r="S96" s="118"/>
      <c r="T96" s="95"/>
      <c r="U96" s="96"/>
      <c r="V96" s="114"/>
    </row>
    <row r="97" spans="1:22" ht="15.75" x14ac:dyDescent="0.25">
      <c r="A97" s="80">
        <v>45751</v>
      </c>
      <c r="B97" s="97">
        <v>5.5</v>
      </c>
      <c r="C97" s="97">
        <v>4.3</v>
      </c>
      <c r="D97" s="97">
        <v>3.5</v>
      </c>
      <c r="E97" s="97">
        <v>4</v>
      </c>
      <c r="F97" s="97">
        <v>4.5</v>
      </c>
      <c r="G97" s="97">
        <v>4.9000000000000004</v>
      </c>
      <c r="H97" s="97">
        <v>4.5</v>
      </c>
      <c r="I97" s="97">
        <v>4.3</v>
      </c>
      <c r="J97" s="97">
        <v>4.7</v>
      </c>
      <c r="K97" s="97">
        <v>5.2</v>
      </c>
      <c r="L97" s="97">
        <v>5.7</v>
      </c>
      <c r="M97" s="98">
        <v>5</v>
      </c>
      <c r="N97" s="91">
        <f t="shared" si="5"/>
        <v>4.7</v>
      </c>
      <c r="O97" s="120">
        <f t="shared" si="6"/>
        <v>5.7</v>
      </c>
      <c r="P97" s="121">
        <f t="shared" si="7"/>
        <v>3.5</v>
      </c>
      <c r="Q97" s="94"/>
      <c r="R97" s="94"/>
      <c r="S97" s="118"/>
      <c r="T97" s="95"/>
      <c r="U97" s="96"/>
      <c r="V97" s="114"/>
    </row>
    <row r="98" spans="1:22" ht="15.75" x14ac:dyDescent="0.25">
      <c r="A98" s="80">
        <v>45752</v>
      </c>
      <c r="B98" s="97">
        <v>4</v>
      </c>
      <c r="C98" s="97">
        <v>3.2</v>
      </c>
      <c r="D98" s="97">
        <v>2.6</v>
      </c>
      <c r="E98" s="97">
        <v>2</v>
      </c>
      <c r="F98" s="97">
        <v>2.2999999999999998</v>
      </c>
      <c r="G98" s="97">
        <v>3</v>
      </c>
      <c r="H98" s="97">
        <v>3.6</v>
      </c>
      <c r="I98" s="97">
        <v>3.8</v>
      </c>
      <c r="J98" s="97">
        <v>3.5</v>
      </c>
      <c r="K98" s="97">
        <v>3.3</v>
      </c>
      <c r="L98" s="97">
        <v>3</v>
      </c>
      <c r="M98" s="98">
        <v>2.5</v>
      </c>
      <c r="N98" s="91">
        <f t="shared" si="5"/>
        <v>3.1</v>
      </c>
      <c r="O98" s="120">
        <f t="shared" si="6"/>
        <v>4</v>
      </c>
      <c r="P98" s="121">
        <f t="shared" si="7"/>
        <v>2</v>
      </c>
      <c r="Q98" s="94"/>
      <c r="R98" s="94"/>
      <c r="S98" s="118"/>
      <c r="T98" s="95"/>
      <c r="U98" s="96"/>
      <c r="V98" s="114"/>
    </row>
    <row r="99" spans="1:22" ht="15.75" x14ac:dyDescent="0.25">
      <c r="A99" s="80">
        <v>45753</v>
      </c>
      <c r="B99" s="97">
        <v>2</v>
      </c>
      <c r="C99" s="97">
        <v>1.6</v>
      </c>
      <c r="D99" s="97">
        <v>1.1000000000000001</v>
      </c>
      <c r="E99" s="97">
        <v>0.6</v>
      </c>
      <c r="F99" s="97">
        <v>0.9</v>
      </c>
      <c r="G99" s="97">
        <v>1.7</v>
      </c>
      <c r="H99" s="97">
        <v>2.6</v>
      </c>
      <c r="I99" s="97">
        <v>3.5</v>
      </c>
      <c r="J99" s="97">
        <v>3.7</v>
      </c>
      <c r="K99" s="97">
        <v>3.5</v>
      </c>
      <c r="L99" s="97">
        <v>3.1</v>
      </c>
      <c r="M99" s="98">
        <v>2.5</v>
      </c>
      <c r="N99" s="91">
        <f t="shared" si="5"/>
        <v>2.2000000000000002</v>
      </c>
      <c r="O99" s="120">
        <f t="shared" si="6"/>
        <v>3.7</v>
      </c>
      <c r="P99" s="121">
        <f t="shared" si="7"/>
        <v>0.6</v>
      </c>
      <c r="Q99" s="94"/>
      <c r="R99" s="94"/>
      <c r="S99" s="118"/>
      <c r="T99" s="95"/>
      <c r="U99" s="96"/>
      <c r="V99" s="114"/>
    </row>
    <row r="100" spans="1:22" ht="15.75" x14ac:dyDescent="0.25">
      <c r="A100" s="80">
        <v>45754</v>
      </c>
      <c r="B100" s="97">
        <v>2</v>
      </c>
      <c r="C100" s="97">
        <v>1.7</v>
      </c>
      <c r="D100" s="97">
        <v>1.3</v>
      </c>
      <c r="E100" s="97">
        <v>0.9</v>
      </c>
      <c r="F100" s="97">
        <v>0.7</v>
      </c>
      <c r="G100" s="97">
        <v>1.6</v>
      </c>
      <c r="H100" s="97">
        <v>2.8</v>
      </c>
      <c r="I100" s="97">
        <v>3.9</v>
      </c>
      <c r="J100" s="97">
        <v>4.9000000000000004</v>
      </c>
      <c r="K100" s="97">
        <v>3.7</v>
      </c>
      <c r="L100" s="97">
        <v>3.3</v>
      </c>
      <c r="M100" s="98">
        <v>3</v>
      </c>
      <c r="N100" s="91">
        <f t="shared" si="5"/>
        <v>2.5</v>
      </c>
      <c r="O100" s="120">
        <f t="shared" si="6"/>
        <v>4.9000000000000004</v>
      </c>
      <c r="P100" s="121">
        <f t="shared" si="7"/>
        <v>0.7</v>
      </c>
      <c r="Q100" s="94"/>
      <c r="R100" s="94"/>
      <c r="S100" s="118"/>
      <c r="T100" s="95"/>
      <c r="U100" s="96"/>
      <c r="V100" s="114"/>
    </row>
    <row r="101" spans="1:22" ht="15.75" x14ac:dyDescent="0.25">
      <c r="A101" s="80">
        <v>45755</v>
      </c>
      <c r="B101" s="97">
        <v>2.7</v>
      </c>
      <c r="C101" s="97">
        <v>2.2000000000000002</v>
      </c>
      <c r="D101" s="97">
        <v>1.6</v>
      </c>
      <c r="E101" s="97">
        <v>1.3</v>
      </c>
      <c r="F101" s="97">
        <v>0.9</v>
      </c>
      <c r="G101" s="97">
        <v>2</v>
      </c>
      <c r="H101" s="97">
        <v>3.1</v>
      </c>
      <c r="I101" s="97">
        <v>4</v>
      </c>
      <c r="J101" s="97">
        <v>5</v>
      </c>
      <c r="K101" s="97">
        <v>3.4</v>
      </c>
      <c r="L101" s="97">
        <v>2.5</v>
      </c>
      <c r="M101" s="98">
        <v>3.1</v>
      </c>
      <c r="N101" s="91">
        <f t="shared" si="5"/>
        <v>2.7</v>
      </c>
      <c r="O101" s="120">
        <f t="shared" si="6"/>
        <v>5</v>
      </c>
      <c r="P101" s="121">
        <f t="shared" si="7"/>
        <v>0.9</v>
      </c>
      <c r="Q101" s="94"/>
      <c r="R101" s="94"/>
      <c r="S101" s="118"/>
      <c r="T101" s="95"/>
      <c r="U101" s="96"/>
      <c r="V101" s="114"/>
    </row>
    <row r="102" spans="1:22" ht="15.75" x14ac:dyDescent="0.25">
      <c r="A102" s="80">
        <v>45756</v>
      </c>
      <c r="B102" s="97">
        <v>3.5</v>
      </c>
      <c r="C102" s="97">
        <v>3.9</v>
      </c>
      <c r="D102" s="97">
        <v>3</v>
      </c>
      <c r="E102" s="97">
        <v>2</v>
      </c>
      <c r="F102" s="97">
        <v>1.1000000000000001</v>
      </c>
      <c r="G102" s="97">
        <v>2.2000000000000002</v>
      </c>
      <c r="H102" s="97">
        <v>3.4</v>
      </c>
      <c r="I102" s="97">
        <v>4.3</v>
      </c>
      <c r="J102" s="97">
        <v>4.9000000000000004</v>
      </c>
      <c r="K102" s="97">
        <v>3.8</v>
      </c>
      <c r="L102" s="97">
        <v>3</v>
      </c>
      <c r="M102" s="98">
        <v>2.5</v>
      </c>
      <c r="N102" s="91">
        <f t="shared" si="5"/>
        <v>3.1</v>
      </c>
      <c r="O102" s="120">
        <f t="shared" si="6"/>
        <v>4.9000000000000004</v>
      </c>
      <c r="P102" s="121">
        <f t="shared" si="7"/>
        <v>1.1000000000000001</v>
      </c>
      <c r="Q102" s="94"/>
      <c r="R102" s="94"/>
      <c r="S102" s="118"/>
      <c r="T102" s="95"/>
      <c r="U102" s="96"/>
      <c r="V102" s="114"/>
    </row>
    <row r="103" spans="1:22" ht="15.75" x14ac:dyDescent="0.25">
      <c r="A103" s="80">
        <v>45757</v>
      </c>
      <c r="B103" s="97">
        <v>3.6</v>
      </c>
      <c r="C103" s="97">
        <v>4.4000000000000004</v>
      </c>
      <c r="D103" s="97">
        <v>3.9</v>
      </c>
      <c r="E103" s="97">
        <v>3.1</v>
      </c>
      <c r="F103" s="97">
        <v>2</v>
      </c>
      <c r="G103" s="97">
        <v>1.3</v>
      </c>
      <c r="H103" s="97">
        <v>2.8</v>
      </c>
      <c r="I103" s="97">
        <v>4</v>
      </c>
      <c r="J103" s="97">
        <v>5.2</v>
      </c>
      <c r="K103" s="97">
        <v>3.2</v>
      </c>
      <c r="L103" s="97">
        <v>2.2000000000000002</v>
      </c>
      <c r="M103" s="98">
        <v>1.5</v>
      </c>
      <c r="N103" s="91">
        <f t="shared" si="5"/>
        <v>3.1</v>
      </c>
      <c r="O103" s="120">
        <f t="shared" si="6"/>
        <v>5.2</v>
      </c>
      <c r="P103" s="121">
        <f t="shared" si="7"/>
        <v>1.3</v>
      </c>
      <c r="Q103" s="94"/>
      <c r="R103" s="94"/>
      <c r="S103" s="118"/>
      <c r="T103" s="95"/>
      <c r="U103" s="96"/>
      <c r="V103" s="114"/>
    </row>
    <row r="104" spans="1:22" ht="15.75" x14ac:dyDescent="0.25">
      <c r="A104" s="80">
        <v>45758</v>
      </c>
      <c r="B104" s="97">
        <v>2.5</v>
      </c>
      <c r="C104" s="97">
        <v>3.9</v>
      </c>
      <c r="D104" s="97">
        <v>5</v>
      </c>
      <c r="E104" s="97">
        <v>4.2</v>
      </c>
      <c r="F104" s="97">
        <v>3.2</v>
      </c>
      <c r="G104" s="97">
        <v>2.5</v>
      </c>
      <c r="H104" s="97">
        <v>3.4</v>
      </c>
      <c r="I104" s="97">
        <v>4.5</v>
      </c>
      <c r="J104" s="97">
        <v>5.5</v>
      </c>
      <c r="K104" s="97">
        <v>4.3</v>
      </c>
      <c r="L104" s="97">
        <v>3.3</v>
      </c>
      <c r="M104" s="98">
        <v>2.6</v>
      </c>
      <c r="N104" s="91">
        <f t="shared" si="5"/>
        <v>3.7</v>
      </c>
      <c r="O104" s="120">
        <f t="shared" si="6"/>
        <v>5.5</v>
      </c>
      <c r="P104" s="121">
        <f t="shared" si="7"/>
        <v>2.5</v>
      </c>
      <c r="Q104" s="94"/>
      <c r="R104" s="94"/>
      <c r="S104" s="118"/>
      <c r="T104" s="95"/>
      <c r="U104" s="96"/>
      <c r="V104" s="114"/>
    </row>
    <row r="105" spans="1:22" ht="15.75" x14ac:dyDescent="0.25">
      <c r="A105" s="80">
        <v>45759</v>
      </c>
      <c r="B105" s="97">
        <v>3.5</v>
      </c>
      <c r="C105" s="97">
        <v>4.2</v>
      </c>
      <c r="D105" s="97">
        <v>5</v>
      </c>
      <c r="E105" s="97">
        <v>3.9</v>
      </c>
      <c r="F105" s="97">
        <v>3.2</v>
      </c>
      <c r="G105" s="97">
        <v>2.7</v>
      </c>
      <c r="H105" s="97">
        <v>3.5</v>
      </c>
      <c r="I105" s="97">
        <v>4.8</v>
      </c>
      <c r="J105" s="97">
        <v>5.4</v>
      </c>
      <c r="K105" s="97">
        <v>5.0999999999999996</v>
      </c>
      <c r="L105" s="97">
        <v>4.3</v>
      </c>
      <c r="M105" s="98">
        <v>3.4</v>
      </c>
      <c r="N105" s="91">
        <f t="shared" si="5"/>
        <v>4.0999999999999996</v>
      </c>
      <c r="O105" s="120">
        <f t="shared" si="6"/>
        <v>5.4</v>
      </c>
      <c r="P105" s="121">
        <f t="shared" si="7"/>
        <v>2.7</v>
      </c>
      <c r="Q105" s="94"/>
      <c r="R105" s="94"/>
      <c r="S105" s="118"/>
      <c r="T105" s="95"/>
      <c r="U105" s="96"/>
      <c r="V105" s="114"/>
    </row>
    <row r="106" spans="1:22" ht="15.75" x14ac:dyDescent="0.25">
      <c r="A106" s="80">
        <v>45760</v>
      </c>
      <c r="B106" s="97">
        <v>2.5</v>
      </c>
      <c r="C106" s="97">
        <v>3.3</v>
      </c>
      <c r="D106" s="97">
        <v>4.4000000000000004</v>
      </c>
      <c r="E106" s="97">
        <v>4.9000000000000004</v>
      </c>
      <c r="F106" s="97">
        <v>4.7</v>
      </c>
      <c r="G106" s="97">
        <v>3</v>
      </c>
      <c r="H106" s="97">
        <v>2.5</v>
      </c>
      <c r="I106" s="97">
        <v>3.5</v>
      </c>
      <c r="J106" s="97">
        <v>4.7</v>
      </c>
      <c r="K106" s="97">
        <v>4.3</v>
      </c>
      <c r="L106" s="97">
        <v>4.3</v>
      </c>
      <c r="M106" s="98">
        <v>2.8</v>
      </c>
      <c r="N106" s="91">
        <f t="shared" si="5"/>
        <v>3.7</v>
      </c>
      <c r="O106" s="120">
        <f t="shared" si="6"/>
        <v>4.9000000000000004</v>
      </c>
      <c r="P106" s="121">
        <f t="shared" si="7"/>
        <v>2.5</v>
      </c>
      <c r="Q106" s="94"/>
      <c r="R106" s="94"/>
      <c r="S106" s="118"/>
      <c r="T106" s="95"/>
      <c r="U106" s="96"/>
      <c r="V106" s="114"/>
    </row>
    <row r="107" spans="1:22" ht="15.75" x14ac:dyDescent="0.25">
      <c r="A107" s="80">
        <v>45761</v>
      </c>
      <c r="B107" s="97">
        <v>2.1</v>
      </c>
      <c r="C107" s="97">
        <v>2.9</v>
      </c>
      <c r="D107" s="97">
        <v>3.6</v>
      </c>
      <c r="E107" s="97">
        <v>4.2</v>
      </c>
      <c r="F107" s="97">
        <v>3.3</v>
      </c>
      <c r="G107" s="97">
        <v>2.5</v>
      </c>
      <c r="H107" s="97">
        <v>2</v>
      </c>
      <c r="I107" s="97">
        <v>2.8</v>
      </c>
      <c r="J107" s="97">
        <v>3.4</v>
      </c>
      <c r="K107" s="97">
        <v>3.8</v>
      </c>
      <c r="L107" s="97">
        <v>3.3</v>
      </c>
      <c r="M107" s="98">
        <v>2.6</v>
      </c>
      <c r="N107" s="91">
        <f t="shared" si="5"/>
        <v>3</v>
      </c>
      <c r="O107" s="120">
        <f t="shared" si="6"/>
        <v>4.2</v>
      </c>
      <c r="P107" s="121">
        <f t="shared" si="7"/>
        <v>2</v>
      </c>
      <c r="Q107" s="94"/>
      <c r="R107" s="94"/>
      <c r="S107" s="118"/>
      <c r="T107" s="95"/>
      <c r="U107" s="96"/>
      <c r="V107" s="114"/>
    </row>
    <row r="108" spans="1:22" ht="15.75" x14ac:dyDescent="0.25">
      <c r="A108" s="80">
        <v>45762</v>
      </c>
      <c r="B108" s="97">
        <v>2.1</v>
      </c>
      <c r="C108" s="97">
        <v>2.5</v>
      </c>
      <c r="D108" s="97">
        <v>3.1</v>
      </c>
      <c r="E108" s="97">
        <v>3.4</v>
      </c>
      <c r="F108" s="97">
        <v>3</v>
      </c>
      <c r="G108" s="97">
        <v>2.2999999999999998</v>
      </c>
      <c r="H108" s="97">
        <v>1.8</v>
      </c>
      <c r="I108" s="97">
        <v>2.6</v>
      </c>
      <c r="J108" s="97">
        <v>3.3</v>
      </c>
      <c r="K108" s="97">
        <v>3.6</v>
      </c>
      <c r="L108" s="97">
        <v>3.1</v>
      </c>
      <c r="M108" s="98">
        <v>2.4</v>
      </c>
      <c r="N108" s="91">
        <f t="shared" si="5"/>
        <v>2.8</v>
      </c>
      <c r="O108" s="120">
        <f t="shared" si="6"/>
        <v>3.6</v>
      </c>
      <c r="P108" s="121">
        <f t="shared" si="7"/>
        <v>1.8</v>
      </c>
      <c r="Q108" s="94"/>
      <c r="R108" s="94"/>
      <c r="S108" s="118"/>
      <c r="T108" s="95"/>
      <c r="U108" s="96"/>
      <c r="V108" s="114"/>
    </row>
    <row r="109" spans="1:22" ht="15.75" x14ac:dyDescent="0.25">
      <c r="A109" s="80">
        <v>45763</v>
      </c>
      <c r="B109" s="97">
        <v>1.7</v>
      </c>
      <c r="C109" s="97">
        <v>2.1</v>
      </c>
      <c r="D109" s="97">
        <v>2.6</v>
      </c>
      <c r="E109" s="97">
        <v>3</v>
      </c>
      <c r="F109" s="97">
        <v>2.5</v>
      </c>
      <c r="G109" s="97">
        <v>2.1</v>
      </c>
      <c r="H109" s="97">
        <v>1.5</v>
      </c>
      <c r="I109" s="97">
        <v>1.9</v>
      </c>
      <c r="J109" s="97">
        <v>2.4</v>
      </c>
      <c r="K109" s="97">
        <v>2.8</v>
      </c>
      <c r="L109" s="97">
        <v>2.5</v>
      </c>
      <c r="M109" s="98">
        <v>2.1</v>
      </c>
      <c r="N109" s="91">
        <f t="shared" si="5"/>
        <v>2.2999999999999998</v>
      </c>
      <c r="O109" s="120">
        <f t="shared" si="6"/>
        <v>3</v>
      </c>
      <c r="P109" s="121">
        <f t="shared" si="7"/>
        <v>1.5</v>
      </c>
      <c r="Q109" s="94"/>
      <c r="R109" s="94"/>
      <c r="S109" s="118"/>
      <c r="T109" s="95"/>
      <c r="U109" s="96"/>
      <c r="V109" s="114"/>
    </row>
    <row r="110" spans="1:22" ht="15.75" x14ac:dyDescent="0.25">
      <c r="A110" s="80">
        <v>45764</v>
      </c>
      <c r="B110" s="97">
        <v>1.7</v>
      </c>
      <c r="C110" s="97">
        <v>1.3</v>
      </c>
      <c r="D110" s="97">
        <v>1.6</v>
      </c>
      <c r="E110" s="97">
        <v>2</v>
      </c>
      <c r="F110" s="97">
        <v>2.2999999999999998</v>
      </c>
      <c r="G110" s="97">
        <v>1.8</v>
      </c>
      <c r="H110" s="97">
        <v>1.4</v>
      </c>
      <c r="I110" s="97">
        <v>1.6</v>
      </c>
      <c r="J110" s="97">
        <v>1.8</v>
      </c>
      <c r="K110" s="97">
        <v>1.9</v>
      </c>
      <c r="L110" s="97">
        <v>1.6</v>
      </c>
      <c r="M110" s="98">
        <v>1.4</v>
      </c>
      <c r="N110" s="91">
        <f t="shared" si="5"/>
        <v>1.7</v>
      </c>
      <c r="O110" s="120">
        <f t="shared" si="6"/>
        <v>2.2999999999999998</v>
      </c>
      <c r="P110" s="121">
        <f t="shared" si="7"/>
        <v>1.3</v>
      </c>
      <c r="Q110" s="94"/>
      <c r="R110" s="94"/>
      <c r="S110" s="118"/>
      <c r="T110" s="95"/>
      <c r="U110" s="96"/>
      <c r="V110" s="114"/>
    </row>
    <row r="111" spans="1:22" ht="15.75" x14ac:dyDescent="0.25">
      <c r="A111" s="80">
        <v>45765</v>
      </c>
      <c r="B111" s="97">
        <v>1.1000000000000001</v>
      </c>
      <c r="C111" s="97">
        <v>0.8</v>
      </c>
      <c r="D111" s="97">
        <v>1</v>
      </c>
      <c r="E111" s="97">
        <v>1.3</v>
      </c>
      <c r="F111" s="97">
        <v>1.4</v>
      </c>
      <c r="G111" s="97">
        <v>1.5</v>
      </c>
      <c r="H111" s="97">
        <v>1</v>
      </c>
      <c r="I111" s="97">
        <v>0.8</v>
      </c>
      <c r="J111" s="97">
        <v>1.2</v>
      </c>
      <c r="K111" s="97">
        <v>1.3</v>
      </c>
      <c r="L111" s="97">
        <v>1.4</v>
      </c>
      <c r="M111" s="98">
        <v>0.9</v>
      </c>
      <c r="N111" s="91">
        <f t="shared" si="5"/>
        <v>1.1000000000000001</v>
      </c>
      <c r="O111" s="120">
        <f t="shared" si="6"/>
        <v>1.5</v>
      </c>
      <c r="P111" s="121">
        <f t="shared" si="7"/>
        <v>0.8</v>
      </c>
      <c r="Q111" s="94"/>
      <c r="R111" s="94"/>
      <c r="S111" s="118"/>
      <c r="T111" s="95"/>
      <c r="U111" s="96"/>
      <c r="V111" s="114"/>
    </row>
    <row r="112" spans="1:22" ht="15.75" x14ac:dyDescent="0.25">
      <c r="A112" s="80">
        <v>45766</v>
      </c>
      <c r="B112" s="97">
        <v>0.7</v>
      </c>
      <c r="C112" s="97">
        <v>0.5</v>
      </c>
      <c r="D112" s="97">
        <v>0.8</v>
      </c>
      <c r="E112" s="97">
        <v>1</v>
      </c>
      <c r="F112" s="97">
        <v>1.4</v>
      </c>
      <c r="G112" s="97">
        <v>1.6</v>
      </c>
      <c r="H112" s="97">
        <v>1.3</v>
      </c>
      <c r="I112" s="97">
        <v>1.1000000000000001</v>
      </c>
      <c r="J112" s="97">
        <v>1.2</v>
      </c>
      <c r="K112" s="97">
        <v>1.4</v>
      </c>
      <c r="L112" s="97">
        <v>1.6</v>
      </c>
      <c r="M112" s="98">
        <v>1.2</v>
      </c>
      <c r="N112" s="91">
        <f t="shared" si="5"/>
        <v>1.2</v>
      </c>
      <c r="O112" s="120">
        <f t="shared" si="6"/>
        <v>1.6</v>
      </c>
      <c r="P112" s="121">
        <f t="shared" si="7"/>
        <v>0.5</v>
      </c>
      <c r="Q112" s="94"/>
      <c r="R112" s="94"/>
      <c r="S112" s="118"/>
      <c r="T112" s="95"/>
      <c r="U112" s="96"/>
      <c r="V112" s="114"/>
    </row>
    <row r="113" spans="1:22" ht="15.75" x14ac:dyDescent="0.25">
      <c r="A113" s="80">
        <v>45767</v>
      </c>
      <c r="B113" s="97">
        <v>0.8</v>
      </c>
      <c r="C113" s="97">
        <v>0.5</v>
      </c>
      <c r="D113" s="97">
        <v>0.3</v>
      </c>
      <c r="E113" s="97">
        <v>0.5</v>
      </c>
      <c r="F113" s="97">
        <v>1</v>
      </c>
      <c r="G113" s="97">
        <v>1.4</v>
      </c>
      <c r="H113" s="97">
        <v>1.3</v>
      </c>
      <c r="I113" s="97">
        <v>1.2</v>
      </c>
      <c r="J113" s="97">
        <v>1.3</v>
      </c>
      <c r="K113" s="97">
        <v>1.3</v>
      </c>
      <c r="L113" s="97">
        <v>1.5</v>
      </c>
      <c r="M113" s="98">
        <v>1.6</v>
      </c>
      <c r="N113" s="91">
        <f t="shared" si="5"/>
        <v>1.1000000000000001</v>
      </c>
      <c r="O113" s="120">
        <f t="shared" si="6"/>
        <v>1.6</v>
      </c>
      <c r="P113" s="121">
        <f t="shared" si="7"/>
        <v>0.3</v>
      </c>
      <c r="Q113" s="94"/>
      <c r="R113" s="94"/>
      <c r="S113" s="118"/>
      <c r="T113" s="95"/>
      <c r="U113" s="96"/>
      <c r="V113" s="114"/>
    </row>
    <row r="114" spans="1:22" ht="15.75" x14ac:dyDescent="0.25">
      <c r="A114" s="80">
        <v>45768</v>
      </c>
      <c r="B114" s="97">
        <v>0.9</v>
      </c>
      <c r="C114" s="97">
        <v>0.4</v>
      </c>
      <c r="D114" s="97">
        <v>0.2</v>
      </c>
      <c r="E114" s="97">
        <v>0.3</v>
      </c>
      <c r="F114" s="97">
        <v>0.6</v>
      </c>
      <c r="G114" s="97">
        <v>1</v>
      </c>
      <c r="H114" s="97">
        <v>1.4</v>
      </c>
      <c r="I114" s="97">
        <v>1.7</v>
      </c>
      <c r="J114" s="97">
        <v>1.5</v>
      </c>
      <c r="K114" s="97">
        <v>1.4</v>
      </c>
      <c r="L114" s="97">
        <v>1.2</v>
      </c>
      <c r="M114" s="98">
        <v>1</v>
      </c>
      <c r="N114" s="91">
        <f t="shared" si="5"/>
        <v>1</v>
      </c>
      <c r="O114" s="120">
        <f t="shared" si="6"/>
        <v>1.7</v>
      </c>
      <c r="P114" s="121">
        <f t="shared" si="7"/>
        <v>0.2</v>
      </c>
      <c r="Q114" s="94"/>
      <c r="R114" s="94"/>
      <c r="S114" s="118"/>
      <c r="T114" s="95"/>
      <c r="U114" s="96"/>
      <c r="V114" s="114"/>
    </row>
    <row r="115" spans="1:22" ht="15.75" x14ac:dyDescent="0.25">
      <c r="A115" s="80">
        <v>45769</v>
      </c>
      <c r="B115" s="97">
        <v>0.8</v>
      </c>
      <c r="C115" s="97">
        <v>0.7</v>
      </c>
      <c r="D115" s="97">
        <v>0.4</v>
      </c>
      <c r="E115" s="97">
        <v>0.3</v>
      </c>
      <c r="F115" s="97">
        <v>0.8</v>
      </c>
      <c r="G115" s="97">
        <v>1.3</v>
      </c>
      <c r="H115" s="97">
        <v>1.8</v>
      </c>
      <c r="I115" s="97">
        <v>2.2999999999999998</v>
      </c>
      <c r="J115" s="97">
        <v>2</v>
      </c>
      <c r="K115" s="97">
        <v>1.7</v>
      </c>
      <c r="L115" s="97">
        <v>1.5</v>
      </c>
      <c r="M115" s="98">
        <v>1.3</v>
      </c>
      <c r="N115" s="91">
        <f t="shared" si="5"/>
        <v>1.2</v>
      </c>
      <c r="O115" s="120">
        <f t="shared" si="6"/>
        <v>2.2999999999999998</v>
      </c>
      <c r="P115" s="121">
        <f t="shared" si="7"/>
        <v>0.3</v>
      </c>
      <c r="Q115" s="94"/>
      <c r="R115" s="94"/>
      <c r="S115" s="118"/>
      <c r="T115" s="95"/>
      <c r="U115" s="96"/>
      <c r="V115" s="114"/>
    </row>
    <row r="116" spans="1:22" ht="15.75" x14ac:dyDescent="0.25">
      <c r="A116" s="80">
        <v>45770</v>
      </c>
      <c r="B116" s="97">
        <v>1.1000000000000001</v>
      </c>
      <c r="C116" s="97">
        <v>0.9</v>
      </c>
      <c r="D116" s="97">
        <v>0.7</v>
      </c>
      <c r="E116" s="97">
        <v>0.5</v>
      </c>
      <c r="F116" s="97">
        <v>0.9</v>
      </c>
      <c r="G116" s="97">
        <v>1.5</v>
      </c>
      <c r="H116" s="97">
        <v>2.2000000000000002</v>
      </c>
      <c r="I116" s="97">
        <v>2.6</v>
      </c>
      <c r="J116" s="97">
        <v>2.1</v>
      </c>
      <c r="K116" s="97">
        <v>1.7</v>
      </c>
      <c r="L116" s="97">
        <v>1.2</v>
      </c>
      <c r="M116" s="98">
        <v>1.6</v>
      </c>
      <c r="N116" s="91">
        <f t="shared" si="5"/>
        <v>1.4</v>
      </c>
      <c r="O116" s="120">
        <f t="shared" si="6"/>
        <v>2.6</v>
      </c>
      <c r="P116" s="121">
        <f t="shared" si="7"/>
        <v>0.5</v>
      </c>
      <c r="Q116" s="94"/>
      <c r="R116" s="94"/>
      <c r="S116" s="118"/>
      <c r="T116" s="95"/>
      <c r="U116" s="96"/>
      <c r="V116" s="114"/>
    </row>
    <row r="117" spans="1:22" ht="15.75" x14ac:dyDescent="0.25">
      <c r="A117" s="80">
        <v>45771</v>
      </c>
      <c r="B117" s="97">
        <v>2.1</v>
      </c>
      <c r="C117" s="97">
        <v>2.5</v>
      </c>
      <c r="D117" s="97">
        <v>2</v>
      </c>
      <c r="E117" s="97">
        <v>1.4</v>
      </c>
      <c r="F117" s="97">
        <v>0.9</v>
      </c>
      <c r="G117" s="97">
        <v>1.7</v>
      </c>
      <c r="H117" s="97">
        <v>2.4</v>
      </c>
      <c r="I117" s="97">
        <v>3</v>
      </c>
      <c r="J117" s="97">
        <v>2.7</v>
      </c>
      <c r="K117" s="97">
        <v>2.5</v>
      </c>
      <c r="L117" s="97">
        <v>1.9</v>
      </c>
      <c r="M117" s="98">
        <v>2.2999999999999998</v>
      </c>
      <c r="N117" s="91">
        <f t="shared" si="5"/>
        <v>2.1</v>
      </c>
      <c r="O117" s="120">
        <f t="shared" si="6"/>
        <v>3</v>
      </c>
      <c r="P117" s="121">
        <f t="shared" si="7"/>
        <v>0.9</v>
      </c>
      <c r="Q117" s="94"/>
      <c r="R117" s="94"/>
      <c r="S117" s="118"/>
      <c r="T117" s="95"/>
      <c r="U117" s="96"/>
      <c r="V117" s="114"/>
    </row>
    <row r="118" spans="1:22" ht="15.75" x14ac:dyDescent="0.25">
      <c r="A118" s="80">
        <v>45772</v>
      </c>
      <c r="B118" s="97">
        <v>3</v>
      </c>
      <c r="C118" s="97">
        <v>3.5</v>
      </c>
      <c r="D118" s="97">
        <v>3.3</v>
      </c>
      <c r="E118" s="97">
        <v>2.4</v>
      </c>
      <c r="F118" s="97">
        <v>1.6</v>
      </c>
      <c r="G118" s="97">
        <v>1.2</v>
      </c>
      <c r="H118" s="97">
        <v>2.2999999999999998</v>
      </c>
      <c r="I118" s="97">
        <v>3.4</v>
      </c>
      <c r="J118" s="97">
        <v>3.6</v>
      </c>
      <c r="K118" s="97">
        <v>3.2</v>
      </c>
      <c r="L118" s="97">
        <v>2.8</v>
      </c>
      <c r="M118" s="98">
        <v>2.2000000000000002</v>
      </c>
      <c r="N118" s="91">
        <f t="shared" si="5"/>
        <v>2.7</v>
      </c>
      <c r="O118" s="120">
        <f t="shared" si="6"/>
        <v>3.6</v>
      </c>
      <c r="P118" s="121">
        <f t="shared" si="7"/>
        <v>1.2</v>
      </c>
      <c r="Q118" s="94"/>
      <c r="R118" s="94"/>
      <c r="S118" s="118"/>
      <c r="T118" s="95"/>
      <c r="U118" s="96"/>
      <c r="V118" s="114"/>
    </row>
    <row r="119" spans="1:22" ht="15.75" x14ac:dyDescent="0.25">
      <c r="A119" s="80">
        <v>45773</v>
      </c>
      <c r="B119" s="97">
        <v>2.9</v>
      </c>
      <c r="C119" s="97">
        <v>3.5</v>
      </c>
      <c r="D119" s="97">
        <v>3.8</v>
      </c>
      <c r="E119" s="97">
        <v>3.2</v>
      </c>
      <c r="F119" s="97">
        <v>2.4</v>
      </c>
      <c r="G119" s="97">
        <v>2</v>
      </c>
      <c r="H119" s="97">
        <v>2.6</v>
      </c>
      <c r="I119" s="97">
        <v>3.6</v>
      </c>
      <c r="J119" s="97">
        <v>4.5</v>
      </c>
      <c r="K119" s="97">
        <v>4.0999999999999996</v>
      </c>
      <c r="L119" s="97">
        <v>3.2</v>
      </c>
      <c r="M119" s="98">
        <v>2.6</v>
      </c>
      <c r="N119" s="91">
        <f t="shared" si="5"/>
        <v>3.2</v>
      </c>
      <c r="O119" s="120">
        <f t="shared" si="6"/>
        <v>4.5</v>
      </c>
      <c r="P119" s="121">
        <f t="shared" si="7"/>
        <v>2</v>
      </c>
      <c r="Q119" s="94"/>
      <c r="R119" s="94"/>
      <c r="S119" s="118"/>
      <c r="T119" s="95"/>
      <c r="U119" s="96"/>
      <c r="V119" s="114"/>
    </row>
    <row r="120" spans="1:22" ht="15.75" x14ac:dyDescent="0.25">
      <c r="A120" s="80">
        <v>45774</v>
      </c>
      <c r="B120" s="97">
        <v>3.1</v>
      </c>
      <c r="C120" s="97">
        <v>3.7</v>
      </c>
      <c r="D120" s="97">
        <v>4.4000000000000004</v>
      </c>
      <c r="E120" s="97">
        <v>3.9</v>
      </c>
      <c r="F120" s="97">
        <v>3</v>
      </c>
      <c r="G120" s="97">
        <v>2</v>
      </c>
      <c r="H120" s="97">
        <v>2.8</v>
      </c>
      <c r="I120" s="97">
        <v>3.4</v>
      </c>
      <c r="J120" s="97">
        <v>4</v>
      </c>
      <c r="K120" s="97">
        <v>3.8</v>
      </c>
      <c r="L120" s="97">
        <v>3.3</v>
      </c>
      <c r="M120" s="98">
        <v>2.7</v>
      </c>
      <c r="N120" s="91">
        <f t="shared" si="5"/>
        <v>3.3</v>
      </c>
      <c r="O120" s="120">
        <f t="shared" si="6"/>
        <v>4.4000000000000004</v>
      </c>
      <c r="P120" s="121">
        <f t="shared" si="7"/>
        <v>2</v>
      </c>
      <c r="Q120" s="94"/>
      <c r="R120" s="94"/>
      <c r="S120" s="118"/>
      <c r="T120" s="95"/>
      <c r="U120" s="96"/>
      <c r="V120" s="114"/>
    </row>
    <row r="121" spans="1:22" ht="15.75" x14ac:dyDescent="0.25">
      <c r="A121" s="80">
        <v>45775</v>
      </c>
      <c r="B121" s="97">
        <v>2.2000000000000002</v>
      </c>
      <c r="C121" s="97">
        <v>2.7</v>
      </c>
      <c r="D121" s="97">
        <v>3</v>
      </c>
      <c r="E121" s="97">
        <v>3.3</v>
      </c>
      <c r="F121" s="97">
        <v>2.6</v>
      </c>
      <c r="G121" s="97">
        <v>1.9</v>
      </c>
      <c r="H121" s="97">
        <v>2.4</v>
      </c>
      <c r="I121" s="97">
        <v>3.1</v>
      </c>
      <c r="J121" s="97">
        <v>3.5</v>
      </c>
      <c r="K121" s="97">
        <v>3.3</v>
      </c>
      <c r="L121" s="97">
        <v>2.9</v>
      </c>
      <c r="M121" s="98">
        <v>2.2999999999999998</v>
      </c>
      <c r="N121" s="91">
        <f t="shared" si="5"/>
        <v>2.8</v>
      </c>
      <c r="O121" s="120">
        <f t="shared" si="6"/>
        <v>3.5</v>
      </c>
      <c r="P121" s="121">
        <f t="shared" si="7"/>
        <v>1.9</v>
      </c>
      <c r="Q121" s="94"/>
      <c r="R121" s="94"/>
      <c r="S121" s="118"/>
      <c r="T121" s="95"/>
      <c r="U121" s="96"/>
      <c r="V121" s="114"/>
    </row>
    <row r="122" spans="1:22" ht="15.75" x14ac:dyDescent="0.25">
      <c r="A122" s="80">
        <v>45776</v>
      </c>
      <c r="B122" s="97">
        <v>1.9</v>
      </c>
      <c r="C122" s="97">
        <v>2.4</v>
      </c>
      <c r="D122" s="97">
        <v>2.9</v>
      </c>
      <c r="E122" s="97">
        <v>3.3</v>
      </c>
      <c r="F122" s="97">
        <v>2.6</v>
      </c>
      <c r="G122" s="97">
        <v>2</v>
      </c>
      <c r="H122" s="97">
        <v>1.6</v>
      </c>
      <c r="I122" s="97">
        <v>2.6</v>
      </c>
      <c r="J122" s="97">
        <v>3.2</v>
      </c>
      <c r="K122" s="97">
        <v>2.8</v>
      </c>
      <c r="L122" s="97">
        <v>2.4</v>
      </c>
      <c r="M122" s="98">
        <v>2</v>
      </c>
      <c r="N122" s="91">
        <f t="shared" si="5"/>
        <v>2.5</v>
      </c>
      <c r="O122" s="120">
        <f t="shared" si="6"/>
        <v>3.3</v>
      </c>
      <c r="P122" s="121">
        <f t="shared" si="7"/>
        <v>1.6</v>
      </c>
      <c r="Q122" s="94"/>
      <c r="R122" s="94"/>
      <c r="S122" s="118"/>
      <c r="T122" s="95"/>
      <c r="U122" s="96"/>
      <c r="V122" s="114"/>
    </row>
    <row r="123" spans="1:22" ht="16.5" thickBot="1" x14ac:dyDescent="0.3">
      <c r="A123" s="80">
        <v>45777</v>
      </c>
      <c r="B123" s="104">
        <v>1.7</v>
      </c>
      <c r="C123" s="104">
        <v>2.1</v>
      </c>
      <c r="D123" s="104">
        <v>2.5</v>
      </c>
      <c r="E123" s="104">
        <v>2.7</v>
      </c>
      <c r="F123" s="104">
        <v>2.4</v>
      </c>
      <c r="G123" s="104">
        <v>2</v>
      </c>
      <c r="H123" s="104">
        <v>1.7</v>
      </c>
      <c r="I123" s="104">
        <v>2</v>
      </c>
      <c r="J123" s="104">
        <v>2.5</v>
      </c>
      <c r="K123" s="104">
        <v>2.9</v>
      </c>
      <c r="L123" s="104">
        <v>1.8</v>
      </c>
      <c r="M123" s="105">
        <v>1.2</v>
      </c>
      <c r="N123" s="106">
        <f t="shared" si="5"/>
        <v>2.1</v>
      </c>
      <c r="O123" s="130">
        <f t="shared" si="6"/>
        <v>2.9</v>
      </c>
      <c r="P123" s="131">
        <f t="shared" si="7"/>
        <v>1.2</v>
      </c>
      <c r="Q123" s="107"/>
      <c r="R123" s="107"/>
      <c r="S123" s="111"/>
      <c r="T123" s="112"/>
      <c r="U123" s="113"/>
      <c r="V123" s="114"/>
    </row>
    <row r="124" spans="1:22" ht="16.5" thickTop="1" x14ac:dyDescent="0.25">
      <c r="A124" s="80">
        <v>45778</v>
      </c>
      <c r="B124" s="89">
        <v>0.7</v>
      </c>
      <c r="C124" s="89">
        <v>1</v>
      </c>
      <c r="D124" s="89">
        <v>1.7</v>
      </c>
      <c r="E124" s="89">
        <v>2.6</v>
      </c>
      <c r="F124" s="89">
        <v>2.9</v>
      </c>
      <c r="G124" s="89">
        <v>1.9</v>
      </c>
      <c r="H124" s="89">
        <v>1.5</v>
      </c>
      <c r="I124" s="89">
        <v>2</v>
      </c>
      <c r="J124" s="89">
        <v>2.8</v>
      </c>
      <c r="K124" s="89">
        <v>3</v>
      </c>
      <c r="L124" s="89">
        <v>2.1</v>
      </c>
      <c r="M124" s="90">
        <v>1.4</v>
      </c>
      <c r="N124" s="115">
        <f t="shared" si="5"/>
        <v>2</v>
      </c>
      <c r="O124" s="132">
        <f t="shared" si="6"/>
        <v>3</v>
      </c>
      <c r="P124" s="133">
        <f t="shared" si="7"/>
        <v>0.7</v>
      </c>
      <c r="Q124" s="94"/>
      <c r="R124" s="94"/>
      <c r="S124" s="117"/>
      <c r="T124" s="86"/>
      <c r="U124" s="87"/>
      <c r="V124" s="114"/>
    </row>
    <row r="125" spans="1:22" ht="15.75" x14ac:dyDescent="0.25">
      <c r="A125" s="80">
        <v>45779</v>
      </c>
      <c r="B125" s="97">
        <v>0.9</v>
      </c>
      <c r="C125" s="97">
        <v>0.3</v>
      </c>
      <c r="D125" s="97">
        <v>1</v>
      </c>
      <c r="E125" s="97">
        <v>2</v>
      </c>
      <c r="F125" s="97">
        <v>2.8</v>
      </c>
      <c r="G125" s="97">
        <v>2.6</v>
      </c>
      <c r="H125" s="97">
        <v>2.2999999999999998</v>
      </c>
      <c r="I125" s="97">
        <v>1.9</v>
      </c>
      <c r="J125" s="97">
        <v>2.6</v>
      </c>
      <c r="K125" s="97">
        <v>2.9</v>
      </c>
      <c r="L125" s="97">
        <v>2.5</v>
      </c>
      <c r="M125" s="98">
        <v>1.8</v>
      </c>
      <c r="N125" s="91">
        <f t="shared" si="5"/>
        <v>2</v>
      </c>
      <c r="O125" s="120">
        <f t="shared" si="6"/>
        <v>2.9</v>
      </c>
      <c r="P125" s="121">
        <f t="shared" si="7"/>
        <v>0.3</v>
      </c>
      <c r="Q125" s="94"/>
      <c r="R125" s="94"/>
      <c r="S125" s="118"/>
      <c r="T125" s="95"/>
      <c r="U125" s="96"/>
      <c r="V125" s="114"/>
    </row>
    <row r="126" spans="1:22" ht="15.75" x14ac:dyDescent="0.25">
      <c r="A126" s="80">
        <v>45780</v>
      </c>
      <c r="B126" s="97">
        <v>1.1000000000000001</v>
      </c>
      <c r="C126" s="97">
        <v>0.3</v>
      </c>
      <c r="D126" s="97">
        <v>0.5</v>
      </c>
      <c r="E126" s="97">
        <v>0.9</v>
      </c>
      <c r="F126" s="97">
        <v>1.2</v>
      </c>
      <c r="G126" s="97">
        <v>1.4</v>
      </c>
      <c r="H126" s="97">
        <v>1.2</v>
      </c>
      <c r="I126" s="97">
        <v>1</v>
      </c>
      <c r="J126" s="97">
        <v>1.4</v>
      </c>
      <c r="K126" s="97">
        <v>1.6</v>
      </c>
      <c r="L126" s="97">
        <v>1.7</v>
      </c>
      <c r="M126" s="98">
        <v>1.2</v>
      </c>
      <c r="N126" s="91">
        <f t="shared" si="5"/>
        <v>1.1000000000000001</v>
      </c>
      <c r="O126" s="120">
        <f t="shared" si="6"/>
        <v>1.7</v>
      </c>
      <c r="P126" s="121">
        <f t="shared" si="7"/>
        <v>0.3</v>
      </c>
      <c r="Q126" s="94"/>
      <c r="R126" s="94"/>
      <c r="S126" s="118"/>
      <c r="T126" s="95"/>
      <c r="U126" s="96"/>
      <c r="V126" s="114"/>
    </row>
    <row r="127" spans="1:22" ht="15.75" x14ac:dyDescent="0.25">
      <c r="A127" s="80">
        <v>45781</v>
      </c>
      <c r="B127" s="97">
        <v>0.8</v>
      </c>
      <c r="C127" s="97">
        <v>0.5</v>
      </c>
      <c r="D127" s="97">
        <v>0.2</v>
      </c>
      <c r="E127" s="97">
        <v>0.5</v>
      </c>
      <c r="F127" s="97">
        <v>0.7</v>
      </c>
      <c r="G127" s="97">
        <v>1.1000000000000001</v>
      </c>
      <c r="H127" s="97">
        <v>1.4</v>
      </c>
      <c r="I127" s="97">
        <v>1.2</v>
      </c>
      <c r="J127" s="97">
        <v>1.2</v>
      </c>
      <c r="K127" s="97">
        <v>0.9</v>
      </c>
      <c r="L127" s="97">
        <v>0.8</v>
      </c>
      <c r="M127" s="98">
        <v>0.5</v>
      </c>
      <c r="N127" s="91">
        <f t="shared" si="5"/>
        <v>0.8</v>
      </c>
      <c r="O127" s="120">
        <f t="shared" si="6"/>
        <v>1.4</v>
      </c>
      <c r="P127" s="121">
        <f t="shared" si="7"/>
        <v>0.2</v>
      </c>
      <c r="Q127" s="94"/>
      <c r="R127" s="94"/>
      <c r="S127" s="118"/>
      <c r="T127" s="95"/>
      <c r="U127" s="96"/>
      <c r="V127" s="114"/>
    </row>
    <row r="128" spans="1:22" ht="15.75" x14ac:dyDescent="0.25">
      <c r="A128" s="80">
        <v>45782</v>
      </c>
      <c r="B128" s="97">
        <v>0.4</v>
      </c>
      <c r="C128" s="97">
        <v>0.3</v>
      </c>
      <c r="D128" s="97">
        <v>0.2</v>
      </c>
      <c r="E128" s="97">
        <v>0.3</v>
      </c>
      <c r="F128" s="97">
        <v>1</v>
      </c>
      <c r="G128" s="97">
        <v>1.2</v>
      </c>
      <c r="H128" s="97">
        <v>1.5</v>
      </c>
      <c r="I128" s="97">
        <v>1.8</v>
      </c>
      <c r="J128" s="97">
        <v>1.6</v>
      </c>
      <c r="K128" s="97">
        <v>1.5</v>
      </c>
      <c r="L128" s="97">
        <v>1</v>
      </c>
      <c r="M128" s="98">
        <v>1.1000000000000001</v>
      </c>
      <c r="N128" s="91">
        <f t="shared" si="5"/>
        <v>1</v>
      </c>
      <c r="O128" s="120">
        <f t="shared" si="6"/>
        <v>1.8</v>
      </c>
      <c r="P128" s="121">
        <f t="shared" si="7"/>
        <v>0.2</v>
      </c>
      <c r="Q128" s="94"/>
      <c r="R128" s="94"/>
      <c r="S128" s="118"/>
      <c r="T128" s="95"/>
      <c r="U128" s="96"/>
      <c r="V128" s="114"/>
    </row>
    <row r="129" spans="1:22" ht="15.75" x14ac:dyDescent="0.25">
      <c r="A129" s="80">
        <v>45783</v>
      </c>
      <c r="B129" s="97">
        <v>1.3</v>
      </c>
      <c r="C129" s="97">
        <v>0.7</v>
      </c>
      <c r="D129" s="97">
        <v>0.5</v>
      </c>
      <c r="E129" s="97">
        <v>0.3</v>
      </c>
      <c r="F129" s="97">
        <v>0.5</v>
      </c>
      <c r="G129" s="97">
        <v>0.8</v>
      </c>
      <c r="H129" s="97">
        <v>1</v>
      </c>
      <c r="I129" s="97">
        <v>1.6</v>
      </c>
      <c r="J129" s="97">
        <v>1</v>
      </c>
      <c r="K129" s="97">
        <v>0.8</v>
      </c>
      <c r="L129" s="97">
        <v>0.6</v>
      </c>
      <c r="M129" s="98">
        <v>0.9</v>
      </c>
      <c r="N129" s="91">
        <f t="shared" si="5"/>
        <v>0.8</v>
      </c>
      <c r="O129" s="120">
        <f t="shared" si="6"/>
        <v>1.6</v>
      </c>
      <c r="P129" s="121">
        <f t="shared" si="7"/>
        <v>0.3</v>
      </c>
      <c r="Q129" s="94"/>
      <c r="R129" s="94"/>
      <c r="S129" s="118"/>
      <c r="T129" s="95"/>
      <c r="U129" s="96"/>
      <c r="V129" s="114"/>
    </row>
    <row r="130" spans="1:22" ht="15.75" x14ac:dyDescent="0.25">
      <c r="A130" s="80">
        <v>45784</v>
      </c>
      <c r="B130" s="97">
        <v>1.3</v>
      </c>
      <c r="C130" s="97">
        <v>1</v>
      </c>
      <c r="D130" s="97">
        <v>0.8</v>
      </c>
      <c r="E130" s="97">
        <v>0.4</v>
      </c>
      <c r="F130" s="97">
        <v>0.6</v>
      </c>
      <c r="G130" s="97">
        <v>1</v>
      </c>
      <c r="H130" s="97">
        <v>1.2</v>
      </c>
      <c r="I130" s="97">
        <v>1.6</v>
      </c>
      <c r="J130" s="97">
        <v>1</v>
      </c>
      <c r="K130" s="97">
        <v>0.8</v>
      </c>
      <c r="L130" s="97">
        <v>0.4</v>
      </c>
      <c r="M130" s="97">
        <v>0.6</v>
      </c>
      <c r="N130" s="91">
        <f t="shared" si="5"/>
        <v>0.9</v>
      </c>
      <c r="O130" s="120">
        <f t="shared" si="6"/>
        <v>1.6</v>
      </c>
      <c r="P130" s="121">
        <f t="shared" si="7"/>
        <v>0.4</v>
      </c>
      <c r="Q130" s="94"/>
      <c r="R130" s="94"/>
      <c r="S130" s="118"/>
      <c r="T130" s="95"/>
      <c r="U130" s="96"/>
      <c r="V130" s="114"/>
    </row>
    <row r="131" spans="1:22" ht="15.75" x14ac:dyDescent="0.25">
      <c r="A131" s="80">
        <v>45785</v>
      </c>
      <c r="B131" s="97">
        <v>0.7</v>
      </c>
      <c r="C131" s="97">
        <v>1.2</v>
      </c>
      <c r="D131" s="97">
        <v>1</v>
      </c>
      <c r="E131" s="97">
        <v>0.4</v>
      </c>
      <c r="F131" s="97">
        <v>0.7</v>
      </c>
      <c r="G131" s="97">
        <v>1.2</v>
      </c>
      <c r="H131" s="97">
        <v>2.1</v>
      </c>
      <c r="I131" s="97">
        <v>2.6</v>
      </c>
      <c r="J131" s="97">
        <v>3</v>
      </c>
      <c r="K131" s="97">
        <v>2.2999999999999998</v>
      </c>
      <c r="L131" s="97">
        <v>1.9</v>
      </c>
      <c r="M131" s="98">
        <v>1.5</v>
      </c>
      <c r="N131" s="91">
        <f t="shared" si="5"/>
        <v>1.6</v>
      </c>
      <c r="O131" s="120">
        <f t="shared" si="6"/>
        <v>3</v>
      </c>
      <c r="P131" s="121">
        <f t="shared" si="7"/>
        <v>0.4</v>
      </c>
      <c r="Q131" s="94"/>
      <c r="R131" s="94"/>
      <c r="S131" s="118"/>
      <c r="T131" s="95"/>
      <c r="U131" s="96"/>
      <c r="V131" s="114"/>
    </row>
    <row r="132" spans="1:22" ht="15.75" x14ac:dyDescent="0.25">
      <c r="A132" s="80">
        <v>45786</v>
      </c>
      <c r="B132" s="97">
        <v>1.9</v>
      </c>
      <c r="C132" s="97">
        <v>2.4</v>
      </c>
      <c r="D132" s="97">
        <v>2.8</v>
      </c>
      <c r="E132" s="97">
        <v>2.4</v>
      </c>
      <c r="F132" s="97">
        <v>1.8</v>
      </c>
      <c r="G132" s="97">
        <v>1.1000000000000001</v>
      </c>
      <c r="H132" s="97">
        <v>2</v>
      </c>
      <c r="I132" s="97">
        <v>3</v>
      </c>
      <c r="J132" s="97">
        <v>3.7</v>
      </c>
      <c r="K132" s="97">
        <v>3.1</v>
      </c>
      <c r="L132" s="97">
        <v>2.5</v>
      </c>
      <c r="M132" s="98">
        <v>2</v>
      </c>
      <c r="N132" s="91">
        <f t="shared" si="5"/>
        <v>2.4</v>
      </c>
      <c r="O132" s="120">
        <f t="shared" si="6"/>
        <v>3.7</v>
      </c>
      <c r="P132" s="121">
        <f t="shared" si="7"/>
        <v>1.1000000000000001</v>
      </c>
      <c r="Q132" s="94"/>
      <c r="R132" s="94"/>
      <c r="S132" s="118"/>
      <c r="T132" s="95"/>
      <c r="U132" s="96"/>
      <c r="V132" s="114"/>
    </row>
    <row r="133" spans="1:22" ht="15.75" x14ac:dyDescent="0.25">
      <c r="A133" s="80">
        <v>45787</v>
      </c>
      <c r="B133" s="97">
        <v>2.4</v>
      </c>
      <c r="C133" s="97">
        <v>2.9</v>
      </c>
      <c r="D133" s="97">
        <v>3.2</v>
      </c>
      <c r="E133" s="97">
        <v>2.5</v>
      </c>
      <c r="F133" s="97">
        <v>2.1</v>
      </c>
      <c r="G133" s="97">
        <v>1.8</v>
      </c>
      <c r="H133" s="97">
        <v>2.2000000000000002</v>
      </c>
      <c r="I133" s="97">
        <v>2.9</v>
      </c>
      <c r="J133" s="97">
        <v>3.4</v>
      </c>
      <c r="K133" s="97">
        <v>3.8</v>
      </c>
      <c r="L133" s="97">
        <v>3.1</v>
      </c>
      <c r="M133" s="98">
        <v>2.6</v>
      </c>
      <c r="N133" s="91">
        <f t="shared" ref="N133:N184" si="8">ROUND(AVERAGE(B133:M133),1)</f>
        <v>2.7</v>
      </c>
      <c r="O133" s="120">
        <f t="shared" ref="O133:O184" si="9">ROUND(MAX(B133:M133),1)</f>
        <v>3.8</v>
      </c>
      <c r="P133" s="121">
        <f t="shared" ref="P133:P184" si="10">ROUND(MIN(B133:M133),1)</f>
        <v>1.8</v>
      </c>
      <c r="Q133" s="94"/>
      <c r="R133" s="94"/>
      <c r="S133" s="118"/>
      <c r="T133" s="95"/>
      <c r="U133" s="96"/>
      <c r="V133" s="114"/>
    </row>
    <row r="134" spans="1:22" ht="15.75" x14ac:dyDescent="0.25">
      <c r="A134" s="80">
        <v>45788</v>
      </c>
      <c r="B134" s="97">
        <v>2.9</v>
      </c>
      <c r="C134" s="97">
        <v>3.3</v>
      </c>
      <c r="D134" s="97">
        <v>3.7</v>
      </c>
      <c r="E134" s="97">
        <v>3</v>
      </c>
      <c r="F134" s="97">
        <v>2.6</v>
      </c>
      <c r="G134" s="97">
        <v>2.2999999999999998</v>
      </c>
      <c r="H134" s="97">
        <v>2.9</v>
      </c>
      <c r="I134" s="97">
        <v>3.7</v>
      </c>
      <c r="J134" s="97">
        <v>4</v>
      </c>
      <c r="K134" s="97">
        <v>4.3</v>
      </c>
      <c r="L134" s="97">
        <v>3.5</v>
      </c>
      <c r="M134" s="98">
        <v>3.1</v>
      </c>
      <c r="N134" s="91">
        <f t="shared" si="8"/>
        <v>3.3</v>
      </c>
      <c r="O134" s="120">
        <f t="shared" si="9"/>
        <v>4.3</v>
      </c>
      <c r="P134" s="121">
        <f t="shared" si="10"/>
        <v>2.2999999999999998</v>
      </c>
      <c r="Q134" s="94"/>
      <c r="R134" s="94"/>
      <c r="S134" s="118"/>
      <c r="T134" s="95"/>
      <c r="U134" s="96"/>
      <c r="V134" s="114"/>
    </row>
    <row r="135" spans="1:22" ht="15.75" x14ac:dyDescent="0.25">
      <c r="A135" s="80">
        <v>45789</v>
      </c>
      <c r="B135" s="97">
        <v>2.7</v>
      </c>
      <c r="C135" s="97">
        <v>3.3</v>
      </c>
      <c r="D135" s="97">
        <v>4.0999999999999996</v>
      </c>
      <c r="E135" s="97">
        <v>4.8</v>
      </c>
      <c r="F135" s="97">
        <v>3.8</v>
      </c>
      <c r="G135" s="97">
        <v>3</v>
      </c>
      <c r="H135" s="97">
        <v>3.4</v>
      </c>
      <c r="I135" s="97">
        <v>3.8</v>
      </c>
      <c r="J135" s="97">
        <v>4.3</v>
      </c>
      <c r="K135" s="97">
        <v>3.6</v>
      </c>
      <c r="L135" s="97">
        <v>3.1</v>
      </c>
      <c r="M135" s="98">
        <v>2.7</v>
      </c>
      <c r="N135" s="91">
        <f t="shared" si="8"/>
        <v>3.6</v>
      </c>
      <c r="O135" s="120">
        <f t="shared" si="9"/>
        <v>4.8</v>
      </c>
      <c r="P135" s="121">
        <f t="shared" si="10"/>
        <v>2.7</v>
      </c>
      <c r="Q135" s="94"/>
      <c r="R135" s="94"/>
      <c r="S135" s="118"/>
      <c r="T135" s="95"/>
      <c r="U135" s="96"/>
      <c r="V135" s="114"/>
    </row>
    <row r="136" spans="1:22" ht="15.75" x14ac:dyDescent="0.25">
      <c r="A136" s="80">
        <v>45790</v>
      </c>
      <c r="B136" s="97">
        <v>2.4</v>
      </c>
      <c r="C136" s="97">
        <v>3</v>
      </c>
      <c r="D136" s="97">
        <v>3.5</v>
      </c>
      <c r="E136" s="97">
        <v>3.9</v>
      </c>
      <c r="F136" s="97">
        <v>3.2</v>
      </c>
      <c r="G136" s="97">
        <v>2.5</v>
      </c>
      <c r="H136" s="97">
        <v>2.8</v>
      </c>
      <c r="I136" s="97">
        <v>3</v>
      </c>
      <c r="J136" s="97">
        <v>3.5</v>
      </c>
      <c r="K136" s="97">
        <v>3.2</v>
      </c>
      <c r="L136" s="97">
        <v>2.8</v>
      </c>
      <c r="M136" s="98">
        <v>2.2000000000000002</v>
      </c>
      <c r="N136" s="91">
        <f t="shared" si="8"/>
        <v>3</v>
      </c>
      <c r="O136" s="120">
        <f t="shared" si="9"/>
        <v>3.9</v>
      </c>
      <c r="P136" s="121">
        <f t="shared" si="10"/>
        <v>2.2000000000000002</v>
      </c>
      <c r="Q136" s="94"/>
      <c r="R136" s="94"/>
      <c r="S136" s="118"/>
      <c r="T136" s="95"/>
      <c r="U136" s="96"/>
      <c r="V136" s="114"/>
    </row>
    <row r="137" spans="1:22" ht="15.75" x14ac:dyDescent="0.25">
      <c r="A137" s="80">
        <v>45791</v>
      </c>
      <c r="B137" s="97">
        <v>1.7</v>
      </c>
      <c r="C137" s="97">
        <v>2.1</v>
      </c>
      <c r="D137" s="97">
        <v>2.6</v>
      </c>
      <c r="E137" s="97">
        <v>3</v>
      </c>
      <c r="F137" s="97">
        <v>2.2999999999999998</v>
      </c>
      <c r="G137" s="97">
        <v>1.9</v>
      </c>
      <c r="H137" s="97">
        <v>1.2</v>
      </c>
      <c r="I137" s="97">
        <v>2.5</v>
      </c>
      <c r="J137" s="97">
        <v>2.9</v>
      </c>
      <c r="K137" s="97">
        <v>3.2</v>
      </c>
      <c r="L137" s="97">
        <v>2.1</v>
      </c>
      <c r="M137" s="98">
        <v>1.7</v>
      </c>
      <c r="N137" s="91">
        <f t="shared" si="8"/>
        <v>2.2999999999999998</v>
      </c>
      <c r="O137" s="120">
        <f t="shared" si="9"/>
        <v>3.2</v>
      </c>
      <c r="P137" s="121">
        <f t="shared" si="10"/>
        <v>1.2</v>
      </c>
      <c r="Q137" s="94"/>
      <c r="R137" s="94"/>
      <c r="S137" s="118"/>
      <c r="T137" s="95"/>
      <c r="U137" s="96"/>
      <c r="V137" s="114"/>
    </row>
    <row r="138" spans="1:22" ht="15.75" x14ac:dyDescent="0.25">
      <c r="A138" s="80">
        <v>45792</v>
      </c>
      <c r="B138" s="97">
        <v>1.2</v>
      </c>
      <c r="C138" s="97">
        <v>1.5</v>
      </c>
      <c r="D138" s="97">
        <v>1.9</v>
      </c>
      <c r="E138" s="97">
        <v>2.2000000000000002</v>
      </c>
      <c r="F138" s="97">
        <v>2.6</v>
      </c>
      <c r="G138" s="97">
        <v>1.9</v>
      </c>
      <c r="H138" s="97">
        <v>1.2</v>
      </c>
      <c r="I138" s="97">
        <v>1.9</v>
      </c>
      <c r="J138" s="97">
        <v>2.4</v>
      </c>
      <c r="K138" s="97">
        <v>3</v>
      </c>
      <c r="L138" s="97">
        <v>2.2999999999999998</v>
      </c>
      <c r="M138" s="98">
        <v>1.8</v>
      </c>
      <c r="N138" s="91">
        <f t="shared" si="8"/>
        <v>2</v>
      </c>
      <c r="O138" s="120">
        <f t="shared" si="9"/>
        <v>3</v>
      </c>
      <c r="P138" s="121">
        <f t="shared" si="10"/>
        <v>1.2</v>
      </c>
      <c r="Q138" s="94"/>
      <c r="R138" s="94"/>
      <c r="S138" s="118"/>
      <c r="T138" s="95"/>
      <c r="U138" s="96"/>
      <c r="V138" s="114"/>
    </row>
    <row r="139" spans="1:22" ht="15.75" x14ac:dyDescent="0.25">
      <c r="A139" s="80">
        <v>45793</v>
      </c>
      <c r="B139" s="97">
        <v>1.5</v>
      </c>
      <c r="C139" s="97">
        <v>1.1000000000000001</v>
      </c>
      <c r="D139" s="97">
        <v>1.4</v>
      </c>
      <c r="E139" s="97">
        <v>1.8</v>
      </c>
      <c r="F139" s="97">
        <v>2.2000000000000002</v>
      </c>
      <c r="G139" s="97">
        <v>1.8</v>
      </c>
      <c r="H139" s="97">
        <v>1.2</v>
      </c>
      <c r="I139" s="97">
        <v>1.5</v>
      </c>
      <c r="J139" s="97">
        <v>1.8</v>
      </c>
      <c r="K139" s="97">
        <v>2</v>
      </c>
      <c r="L139" s="97">
        <v>1.7</v>
      </c>
      <c r="M139" s="98">
        <v>1.5</v>
      </c>
      <c r="N139" s="91">
        <f t="shared" si="8"/>
        <v>1.6</v>
      </c>
      <c r="O139" s="120">
        <f t="shared" si="9"/>
        <v>2.2000000000000002</v>
      </c>
      <c r="P139" s="121">
        <f t="shared" si="10"/>
        <v>1.1000000000000001</v>
      </c>
      <c r="Q139" s="94"/>
      <c r="R139" s="94"/>
      <c r="S139" s="118"/>
      <c r="T139" s="95"/>
      <c r="U139" s="96"/>
      <c r="V139" s="114"/>
    </row>
    <row r="140" spans="1:22" ht="15.75" x14ac:dyDescent="0.25">
      <c r="A140" s="80">
        <v>45794</v>
      </c>
      <c r="B140" s="97">
        <v>1.1000000000000001</v>
      </c>
      <c r="C140" s="97">
        <v>0.8</v>
      </c>
      <c r="D140" s="97">
        <v>1.1000000000000001</v>
      </c>
      <c r="E140" s="97">
        <v>1.5</v>
      </c>
      <c r="F140" s="97">
        <v>1.7</v>
      </c>
      <c r="G140" s="97">
        <v>1.3</v>
      </c>
      <c r="H140" s="97">
        <v>1</v>
      </c>
      <c r="I140" s="97">
        <v>1.2</v>
      </c>
      <c r="J140" s="97">
        <v>1.4</v>
      </c>
      <c r="K140" s="97">
        <v>1.6</v>
      </c>
      <c r="L140" s="97">
        <v>1.1000000000000001</v>
      </c>
      <c r="M140" s="98">
        <v>0.7</v>
      </c>
      <c r="N140" s="91">
        <f t="shared" si="8"/>
        <v>1.2</v>
      </c>
      <c r="O140" s="120">
        <f t="shared" si="9"/>
        <v>1.7</v>
      </c>
      <c r="P140" s="121">
        <f t="shared" si="10"/>
        <v>0.7</v>
      </c>
      <c r="Q140" s="94"/>
      <c r="R140" s="94"/>
      <c r="S140" s="118"/>
      <c r="T140" s="95"/>
      <c r="U140" s="96"/>
      <c r="V140" s="114"/>
    </row>
    <row r="141" spans="1:22" ht="15.75" x14ac:dyDescent="0.25">
      <c r="A141" s="80">
        <v>45795</v>
      </c>
      <c r="B141" s="97">
        <v>0.3</v>
      </c>
      <c r="C141" s="97">
        <v>0.5</v>
      </c>
      <c r="D141" s="97">
        <v>0.6</v>
      </c>
      <c r="E141" s="97">
        <v>0.7</v>
      </c>
      <c r="F141" s="97">
        <v>1.3</v>
      </c>
      <c r="G141" s="97">
        <v>1.2</v>
      </c>
      <c r="H141" s="97">
        <v>1</v>
      </c>
      <c r="I141" s="97">
        <v>0.9</v>
      </c>
      <c r="J141" s="97">
        <v>1.1000000000000001</v>
      </c>
      <c r="K141" s="97">
        <v>1.3</v>
      </c>
      <c r="L141" s="97">
        <v>1.5</v>
      </c>
      <c r="M141" s="98">
        <v>1.1000000000000001</v>
      </c>
      <c r="N141" s="91">
        <f t="shared" si="8"/>
        <v>1</v>
      </c>
      <c r="O141" s="120">
        <f t="shared" si="9"/>
        <v>1.5</v>
      </c>
      <c r="P141" s="121">
        <f t="shared" si="10"/>
        <v>0.3</v>
      </c>
      <c r="Q141" s="94"/>
      <c r="R141" s="94"/>
      <c r="S141" s="118"/>
      <c r="T141" s="95"/>
      <c r="U141" s="96"/>
      <c r="V141" s="114"/>
    </row>
    <row r="142" spans="1:22" ht="15.75" x14ac:dyDescent="0.25">
      <c r="A142" s="80">
        <v>45796</v>
      </c>
      <c r="B142" s="97">
        <v>0.8</v>
      </c>
      <c r="C142" s="97">
        <v>0.5</v>
      </c>
      <c r="D142" s="97">
        <v>0.3</v>
      </c>
      <c r="E142" s="97">
        <v>0.4</v>
      </c>
      <c r="F142" s="97">
        <v>0.8</v>
      </c>
      <c r="G142" s="97">
        <v>1.3</v>
      </c>
      <c r="H142" s="97">
        <v>1.1000000000000001</v>
      </c>
      <c r="I142" s="97">
        <v>0.9</v>
      </c>
      <c r="J142" s="97">
        <v>1.2</v>
      </c>
      <c r="K142" s="97">
        <v>1.4</v>
      </c>
      <c r="L142" s="97">
        <v>1.5</v>
      </c>
      <c r="M142" s="98">
        <v>1</v>
      </c>
      <c r="N142" s="91">
        <f t="shared" si="8"/>
        <v>0.9</v>
      </c>
      <c r="O142" s="120">
        <f t="shared" si="9"/>
        <v>1.5</v>
      </c>
      <c r="P142" s="121">
        <f t="shared" si="10"/>
        <v>0.3</v>
      </c>
      <c r="Q142" s="94"/>
      <c r="R142" s="94"/>
      <c r="S142" s="118"/>
      <c r="T142" s="95"/>
      <c r="U142" s="96"/>
      <c r="V142" s="114"/>
    </row>
    <row r="143" spans="1:22" ht="15.75" x14ac:dyDescent="0.25">
      <c r="A143" s="80">
        <v>45797</v>
      </c>
      <c r="B143" s="97">
        <v>0.7</v>
      </c>
      <c r="C143" s="97">
        <v>0.4</v>
      </c>
      <c r="D143" s="97">
        <v>0.2</v>
      </c>
      <c r="E143" s="97">
        <v>0.3</v>
      </c>
      <c r="F143" s="97">
        <v>0.7</v>
      </c>
      <c r="G143" s="97">
        <v>0.9</v>
      </c>
      <c r="H143" s="97">
        <v>1.1000000000000001</v>
      </c>
      <c r="I143" s="97">
        <v>0.9</v>
      </c>
      <c r="J143" s="97">
        <v>0.8</v>
      </c>
      <c r="K143" s="97">
        <v>0.7</v>
      </c>
      <c r="L143" s="97">
        <v>0.5</v>
      </c>
      <c r="M143" s="98">
        <v>1</v>
      </c>
      <c r="N143" s="91">
        <f t="shared" si="8"/>
        <v>0.7</v>
      </c>
      <c r="O143" s="120">
        <f t="shared" si="9"/>
        <v>1.1000000000000001</v>
      </c>
      <c r="P143" s="121">
        <f t="shared" si="10"/>
        <v>0.2</v>
      </c>
      <c r="Q143" s="94"/>
      <c r="R143" s="94"/>
      <c r="S143" s="118"/>
      <c r="T143" s="95"/>
      <c r="U143" s="96"/>
      <c r="V143" s="114"/>
    </row>
    <row r="144" spans="1:22" ht="15.75" x14ac:dyDescent="0.25">
      <c r="A144" s="80">
        <v>45798</v>
      </c>
      <c r="B144" s="97">
        <v>0.5</v>
      </c>
      <c r="C144" s="97">
        <v>0.3</v>
      </c>
      <c r="D144" s="97">
        <v>0.2</v>
      </c>
      <c r="E144" s="97">
        <v>0.3</v>
      </c>
      <c r="F144" s="97">
        <v>0.6</v>
      </c>
      <c r="G144" s="97">
        <v>0.8</v>
      </c>
      <c r="H144" s="97">
        <v>1</v>
      </c>
      <c r="I144" s="97">
        <v>1.3</v>
      </c>
      <c r="J144" s="97">
        <v>1</v>
      </c>
      <c r="K144" s="97">
        <v>0.7</v>
      </c>
      <c r="L144" s="97">
        <v>0.8</v>
      </c>
      <c r="M144" s="98">
        <v>0.9</v>
      </c>
      <c r="N144" s="91">
        <f t="shared" si="8"/>
        <v>0.7</v>
      </c>
      <c r="O144" s="120">
        <f t="shared" si="9"/>
        <v>1.3</v>
      </c>
      <c r="P144" s="121">
        <f t="shared" si="10"/>
        <v>0.2</v>
      </c>
      <c r="Q144" s="94"/>
      <c r="R144" s="94"/>
      <c r="S144" s="118"/>
      <c r="T144" s="95"/>
      <c r="U144" s="96"/>
      <c r="V144" s="114"/>
    </row>
    <row r="145" spans="1:22" ht="15.75" x14ac:dyDescent="0.25">
      <c r="A145" s="80">
        <v>45799</v>
      </c>
      <c r="B145" s="97">
        <v>1.1000000000000001</v>
      </c>
      <c r="C145" s="97">
        <v>0.6</v>
      </c>
      <c r="D145" s="97">
        <v>0.5</v>
      </c>
      <c r="E145" s="97">
        <v>0.3</v>
      </c>
      <c r="F145" s="97">
        <v>0.6</v>
      </c>
      <c r="G145" s="97">
        <v>1</v>
      </c>
      <c r="H145" s="97">
        <v>1.3</v>
      </c>
      <c r="I145" s="97">
        <v>1.5</v>
      </c>
      <c r="J145" s="97">
        <v>1.1000000000000001</v>
      </c>
      <c r="K145" s="97">
        <v>0.7</v>
      </c>
      <c r="L145" s="97">
        <v>0.9</v>
      </c>
      <c r="M145" s="98">
        <v>1.2</v>
      </c>
      <c r="N145" s="91">
        <f t="shared" si="8"/>
        <v>0.9</v>
      </c>
      <c r="O145" s="120">
        <f t="shared" si="9"/>
        <v>1.5</v>
      </c>
      <c r="P145" s="121">
        <f t="shared" si="10"/>
        <v>0.3</v>
      </c>
      <c r="Q145" s="94"/>
      <c r="R145" s="94"/>
      <c r="S145" s="118"/>
      <c r="T145" s="95"/>
      <c r="U145" s="96"/>
      <c r="V145" s="114"/>
    </row>
    <row r="146" spans="1:22" ht="15.75" x14ac:dyDescent="0.25">
      <c r="A146" s="80">
        <v>45800</v>
      </c>
      <c r="B146" s="97">
        <v>1.4</v>
      </c>
      <c r="C146" s="97">
        <v>0.9</v>
      </c>
      <c r="D146" s="97">
        <v>0.6</v>
      </c>
      <c r="E146" s="97">
        <v>0.4</v>
      </c>
      <c r="F146" s="97">
        <v>0.3</v>
      </c>
      <c r="G146" s="97">
        <v>0.9</v>
      </c>
      <c r="H146" s="97">
        <v>1.4</v>
      </c>
      <c r="I146" s="97">
        <v>2.1</v>
      </c>
      <c r="J146" s="97">
        <v>1.8</v>
      </c>
      <c r="K146" s="97">
        <v>1.5</v>
      </c>
      <c r="L146" s="97">
        <v>1.1000000000000001</v>
      </c>
      <c r="M146" s="98">
        <v>1.4</v>
      </c>
      <c r="N146" s="91">
        <f t="shared" si="8"/>
        <v>1.2</v>
      </c>
      <c r="O146" s="120">
        <f t="shared" si="9"/>
        <v>2.1</v>
      </c>
      <c r="P146" s="121">
        <f t="shared" si="10"/>
        <v>0.3</v>
      </c>
      <c r="Q146" s="94"/>
      <c r="R146" s="94"/>
      <c r="S146" s="118"/>
      <c r="T146" s="95"/>
      <c r="U146" s="96"/>
      <c r="V146" s="114"/>
    </row>
    <row r="147" spans="1:22" ht="15.75" x14ac:dyDescent="0.25">
      <c r="A147" s="80">
        <v>45801</v>
      </c>
      <c r="B147" s="97">
        <v>1.6</v>
      </c>
      <c r="C147" s="97">
        <v>1.8</v>
      </c>
      <c r="D147" s="97">
        <v>1.5</v>
      </c>
      <c r="E147" s="97">
        <v>1.1000000000000001</v>
      </c>
      <c r="F147" s="97">
        <v>0.6</v>
      </c>
      <c r="G147" s="97">
        <v>1</v>
      </c>
      <c r="H147" s="97">
        <v>1.6</v>
      </c>
      <c r="I147" s="97">
        <v>2</v>
      </c>
      <c r="J147" s="97">
        <v>2.2000000000000002</v>
      </c>
      <c r="K147" s="97">
        <v>2.4</v>
      </c>
      <c r="L147" s="97">
        <v>1.9</v>
      </c>
      <c r="M147" s="98">
        <v>1.4</v>
      </c>
      <c r="N147" s="91">
        <f t="shared" si="8"/>
        <v>1.6</v>
      </c>
      <c r="O147" s="120">
        <f t="shared" si="9"/>
        <v>2.4</v>
      </c>
      <c r="P147" s="121">
        <f t="shared" si="10"/>
        <v>0.6</v>
      </c>
      <c r="Q147" s="94"/>
      <c r="R147" s="94"/>
      <c r="S147" s="118"/>
      <c r="T147" s="95"/>
      <c r="U147" s="96"/>
      <c r="V147" s="114"/>
    </row>
    <row r="148" spans="1:22" ht="15.75" x14ac:dyDescent="0.25">
      <c r="A148" s="80">
        <v>45802</v>
      </c>
      <c r="B148" s="97">
        <v>1.8</v>
      </c>
      <c r="C148" s="97">
        <v>2.1</v>
      </c>
      <c r="D148" s="97">
        <v>2.4</v>
      </c>
      <c r="E148" s="97">
        <v>2</v>
      </c>
      <c r="F148" s="97">
        <v>1.2</v>
      </c>
      <c r="G148" s="97">
        <v>1.8</v>
      </c>
      <c r="H148" s="97">
        <v>2.6</v>
      </c>
      <c r="I148" s="97">
        <v>3.2</v>
      </c>
      <c r="J148" s="97">
        <v>2.6</v>
      </c>
      <c r="K148" s="97">
        <v>1.9</v>
      </c>
      <c r="L148" s="97">
        <v>1.4</v>
      </c>
      <c r="M148" s="98">
        <v>1.1000000000000001</v>
      </c>
      <c r="N148" s="91">
        <f t="shared" si="8"/>
        <v>2</v>
      </c>
      <c r="O148" s="120">
        <f t="shared" si="9"/>
        <v>3.2</v>
      </c>
      <c r="P148" s="121">
        <f t="shared" si="10"/>
        <v>1.1000000000000001</v>
      </c>
      <c r="Q148" s="94"/>
      <c r="R148" s="94"/>
      <c r="S148" s="118"/>
      <c r="T148" s="95"/>
      <c r="U148" s="96"/>
      <c r="V148" s="114"/>
    </row>
    <row r="149" spans="1:22" ht="15.75" x14ac:dyDescent="0.25">
      <c r="A149" s="80">
        <v>45803</v>
      </c>
      <c r="B149" s="97">
        <v>1.6</v>
      </c>
      <c r="C149" s="97">
        <v>2.1</v>
      </c>
      <c r="D149" s="97">
        <v>2.6</v>
      </c>
      <c r="E149" s="97">
        <v>2.1</v>
      </c>
      <c r="F149" s="97">
        <v>1.8</v>
      </c>
      <c r="G149" s="97">
        <v>1</v>
      </c>
      <c r="H149" s="97">
        <v>1.2</v>
      </c>
      <c r="I149" s="97">
        <v>1.7</v>
      </c>
      <c r="J149" s="97">
        <v>2.2000000000000002</v>
      </c>
      <c r="K149" s="97">
        <v>1.9</v>
      </c>
      <c r="L149" s="97">
        <v>1.6</v>
      </c>
      <c r="M149" s="98">
        <v>1.1000000000000001</v>
      </c>
      <c r="N149" s="91">
        <f t="shared" si="8"/>
        <v>1.7</v>
      </c>
      <c r="O149" s="120">
        <f t="shared" si="9"/>
        <v>2.6</v>
      </c>
      <c r="P149" s="121">
        <f t="shared" si="10"/>
        <v>1</v>
      </c>
      <c r="Q149" s="94"/>
      <c r="R149" s="94"/>
      <c r="S149" s="118"/>
      <c r="T149" s="95"/>
      <c r="U149" s="96"/>
      <c r="V149" s="114"/>
    </row>
    <row r="150" spans="1:22" ht="15.75" x14ac:dyDescent="0.25">
      <c r="A150" s="80">
        <v>45804</v>
      </c>
      <c r="B150" s="97">
        <v>0.6</v>
      </c>
      <c r="C150" s="97">
        <v>0.9</v>
      </c>
      <c r="D150" s="97">
        <v>1.2</v>
      </c>
      <c r="E150" s="97">
        <v>1.5</v>
      </c>
      <c r="F150" s="97">
        <v>0.9</v>
      </c>
      <c r="G150" s="97">
        <v>0.5</v>
      </c>
      <c r="H150" s="97">
        <v>0.8</v>
      </c>
      <c r="I150" s="97">
        <v>1.1000000000000001</v>
      </c>
      <c r="J150" s="97">
        <v>1.3</v>
      </c>
      <c r="K150" s="97">
        <v>1</v>
      </c>
      <c r="L150" s="97">
        <v>0.7</v>
      </c>
      <c r="M150" s="98">
        <v>0.4</v>
      </c>
      <c r="N150" s="91">
        <f t="shared" si="8"/>
        <v>0.9</v>
      </c>
      <c r="O150" s="120">
        <f t="shared" si="9"/>
        <v>1.5</v>
      </c>
      <c r="P150" s="121">
        <f t="shared" si="10"/>
        <v>0.4</v>
      </c>
      <c r="Q150" s="94"/>
      <c r="R150" s="94"/>
      <c r="S150" s="118"/>
      <c r="T150" s="95"/>
      <c r="U150" s="96"/>
      <c r="V150" s="114"/>
    </row>
    <row r="151" spans="1:22" ht="15.75" x14ac:dyDescent="0.25">
      <c r="A151" s="80">
        <v>45805</v>
      </c>
      <c r="B151" s="97">
        <v>0.2</v>
      </c>
      <c r="C151" s="97">
        <v>0.3</v>
      </c>
      <c r="D151" s="97">
        <v>0.4</v>
      </c>
      <c r="E151" s="97">
        <v>0.6</v>
      </c>
      <c r="F151" s="97">
        <v>0.4</v>
      </c>
      <c r="G151" s="97">
        <v>0.2</v>
      </c>
      <c r="H151" s="97">
        <v>0.3</v>
      </c>
      <c r="I151" s="97">
        <v>0.4</v>
      </c>
      <c r="J151" s="97">
        <v>0.4</v>
      </c>
      <c r="K151" s="97">
        <v>0.4</v>
      </c>
      <c r="L151" s="97">
        <v>0.3</v>
      </c>
      <c r="M151" s="98">
        <v>0.3</v>
      </c>
      <c r="N151" s="91">
        <f t="shared" si="8"/>
        <v>0.4</v>
      </c>
      <c r="O151" s="120">
        <f t="shared" si="9"/>
        <v>0.6</v>
      </c>
      <c r="P151" s="121">
        <f t="shared" si="10"/>
        <v>0.2</v>
      </c>
      <c r="Q151" s="94"/>
      <c r="R151" s="94"/>
      <c r="S151" s="118"/>
      <c r="T151" s="95"/>
      <c r="U151" s="96"/>
      <c r="V151" s="114"/>
    </row>
    <row r="152" spans="1:22" ht="15.75" x14ac:dyDescent="0.25">
      <c r="A152" s="80">
        <v>45806</v>
      </c>
      <c r="B152" s="97">
        <v>0.3</v>
      </c>
      <c r="C152" s="97">
        <v>0.2</v>
      </c>
      <c r="D152" s="97">
        <v>0.3</v>
      </c>
      <c r="E152" s="97">
        <v>0.3</v>
      </c>
      <c r="F152" s="97">
        <v>0.3</v>
      </c>
      <c r="G152" s="97">
        <v>0.2</v>
      </c>
      <c r="H152" s="97">
        <v>0.3</v>
      </c>
      <c r="I152" s="97">
        <v>0.3</v>
      </c>
      <c r="J152" s="97">
        <v>0.3</v>
      </c>
      <c r="K152" s="97">
        <v>0.3</v>
      </c>
      <c r="L152" s="97">
        <v>0.3</v>
      </c>
      <c r="M152" s="98">
        <v>0.3</v>
      </c>
      <c r="N152" s="91">
        <f t="shared" si="8"/>
        <v>0.3</v>
      </c>
      <c r="O152" s="120">
        <f t="shared" si="9"/>
        <v>0.3</v>
      </c>
      <c r="P152" s="121">
        <f t="shared" si="10"/>
        <v>0.2</v>
      </c>
      <c r="Q152" s="94"/>
      <c r="R152" s="94"/>
      <c r="S152" s="118"/>
      <c r="T152" s="95"/>
      <c r="U152" s="96"/>
      <c r="V152" s="114"/>
    </row>
    <row r="153" spans="1:22" ht="15.75" x14ac:dyDescent="0.25">
      <c r="A153" s="80">
        <v>45807</v>
      </c>
      <c r="B153" s="97">
        <v>0.2</v>
      </c>
      <c r="C153" s="97">
        <v>0.2</v>
      </c>
      <c r="D153" s="97">
        <v>0.3</v>
      </c>
      <c r="E153" s="97">
        <v>0.3</v>
      </c>
      <c r="F153" s="97">
        <v>0.4</v>
      </c>
      <c r="G153" s="97">
        <v>0.4</v>
      </c>
      <c r="H153" s="97">
        <v>0.3</v>
      </c>
      <c r="I153" s="97">
        <v>0.2</v>
      </c>
      <c r="J153" s="97">
        <v>0.2</v>
      </c>
      <c r="K153" s="97">
        <v>0.2</v>
      </c>
      <c r="L153" s="97">
        <v>0.3</v>
      </c>
      <c r="M153" s="98">
        <v>0.3</v>
      </c>
      <c r="N153" s="91">
        <f t="shared" si="8"/>
        <v>0.3</v>
      </c>
      <c r="O153" s="120">
        <f t="shared" si="9"/>
        <v>0.4</v>
      </c>
      <c r="P153" s="121">
        <f t="shared" si="10"/>
        <v>0.2</v>
      </c>
      <c r="Q153" s="94"/>
      <c r="R153" s="94"/>
      <c r="S153" s="118"/>
      <c r="T153" s="95"/>
      <c r="U153" s="96"/>
      <c r="V153" s="114"/>
    </row>
    <row r="154" spans="1:22" ht="16.5" thickBot="1" x14ac:dyDescent="0.3">
      <c r="A154" s="134">
        <v>45808</v>
      </c>
      <c r="B154" s="104">
        <v>0.2</v>
      </c>
      <c r="C154" s="104">
        <v>0.2</v>
      </c>
      <c r="D154" s="104">
        <v>0.2</v>
      </c>
      <c r="E154" s="104">
        <v>0.3</v>
      </c>
      <c r="F154" s="104">
        <v>0.4</v>
      </c>
      <c r="G154" s="104">
        <v>0.3</v>
      </c>
      <c r="H154" s="104">
        <v>0.3</v>
      </c>
      <c r="I154" s="104">
        <v>0.2</v>
      </c>
      <c r="J154" s="104">
        <v>0.2</v>
      </c>
      <c r="K154" s="104">
        <v>0.2</v>
      </c>
      <c r="L154" s="104">
        <v>0.3</v>
      </c>
      <c r="M154" s="105">
        <v>0.3</v>
      </c>
      <c r="N154" s="135">
        <f t="shared" si="8"/>
        <v>0.3</v>
      </c>
      <c r="O154" s="136">
        <f t="shared" si="9"/>
        <v>0.4</v>
      </c>
      <c r="P154" s="137">
        <f t="shared" si="10"/>
        <v>0.2</v>
      </c>
      <c r="Q154" s="138"/>
      <c r="R154" s="138"/>
      <c r="S154" s="111"/>
      <c r="T154" s="112"/>
      <c r="U154" s="113"/>
      <c r="V154" s="114"/>
    </row>
    <row r="155" spans="1:22" ht="16.5" thickTop="1" x14ac:dyDescent="0.25">
      <c r="A155" s="139">
        <v>45809</v>
      </c>
      <c r="B155" s="89">
        <v>0.3</v>
      </c>
      <c r="C155" s="89">
        <v>0.2</v>
      </c>
      <c r="D155" s="89">
        <v>0.2</v>
      </c>
      <c r="E155" s="89">
        <v>0.2</v>
      </c>
      <c r="F155" s="89">
        <v>0.5</v>
      </c>
      <c r="G155" s="89">
        <v>0.4</v>
      </c>
      <c r="H155" s="89">
        <v>0.3</v>
      </c>
      <c r="I155" s="89">
        <v>0.2</v>
      </c>
      <c r="J155" s="89">
        <v>0.2</v>
      </c>
      <c r="K155" s="89">
        <v>0.3</v>
      </c>
      <c r="L155" s="89">
        <v>0.4</v>
      </c>
      <c r="M155" s="90">
        <v>0.3</v>
      </c>
      <c r="N155" s="115">
        <f t="shared" si="8"/>
        <v>0.3</v>
      </c>
      <c r="O155" s="132">
        <f t="shared" si="9"/>
        <v>0.5</v>
      </c>
      <c r="P155" s="133">
        <f t="shared" si="10"/>
        <v>0.2</v>
      </c>
      <c r="Q155" s="94"/>
      <c r="R155" s="94"/>
      <c r="S155" s="117"/>
      <c r="T155" s="86"/>
      <c r="U155" s="87"/>
      <c r="V155" s="114"/>
    </row>
    <row r="156" spans="1:22" ht="15.75" x14ac:dyDescent="0.25">
      <c r="A156" s="80">
        <v>45810</v>
      </c>
      <c r="B156" s="97">
        <v>0.3</v>
      </c>
      <c r="C156" s="97">
        <v>0.3</v>
      </c>
      <c r="D156" s="97">
        <v>0.2</v>
      </c>
      <c r="E156" s="97">
        <v>0.2</v>
      </c>
      <c r="F156" s="97">
        <v>0.6</v>
      </c>
      <c r="G156" s="97">
        <v>0.8</v>
      </c>
      <c r="H156" s="97">
        <v>0.5</v>
      </c>
      <c r="I156" s="97">
        <v>0.4</v>
      </c>
      <c r="J156" s="97">
        <v>0.1</v>
      </c>
      <c r="K156" s="97">
        <v>0.2</v>
      </c>
      <c r="L156" s="97">
        <v>0.3</v>
      </c>
      <c r="M156" s="98">
        <v>0.2</v>
      </c>
      <c r="N156" s="91">
        <f t="shared" si="8"/>
        <v>0.3</v>
      </c>
      <c r="O156" s="120">
        <f t="shared" si="9"/>
        <v>0.8</v>
      </c>
      <c r="P156" s="121">
        <f t="shared" si="10"/>
        <v>0.1</v>
      </c>
      <c r="Q156" s="140"/>
      <c r="R156" s="94"/>
      <c r="S156" s="118"/>
      <c r="T156" s="95"/>
      <c r="U156" s="96"/>
      <c r="V156" s="114"/>
    </row>
    <row r="157" spans="1:22" ht="15.75" x14ac:dyDescent="0.25">
      <c r="A157" s="80">
        <v>45811</v>
      </c>
      <c r="B157" s="97">
        <v>0.2</v>
      </c>
      <c r="C157" s="97">
        <v>0.2</v>
      </c>
      <c r="D157" s="97">
        <v>0.1</v>
      </c>
      <c r="E157" s="97">
        <v>0.1</v>
      </c>
      <c r="F157" s="97">
        <v>0.3</v>
      </c>
      <c r="G157" s="97">
        <v>0.5</v>
      </c>
      <c r="H157" s="97">
        <v>0.3</v>
      </c>
      <c r="I157" s="97">
        <v>0.2</v>
      </c>
      <c r="J157" s="97">
        <v>0.1</v>
      </c>
      <c r="K157" s="97">
        <v>0.2</v>
      </c>
      <c r="L157" s="141">
        <v>0.3</v>
      </c>
      <c r="M157" s="98">
        <v>0.2</v>
      </c>
      <c r="N157" s="91">
        <f>ROUND(AVERAGE(B157:M157),1)</f>
        <v>0.2</v>
      </c>
      <c r="O157" s="120">
        <f>ROUND(MAX(B157:M157),1)</f>
        <v>0.5</v>
      </c>
      <c r="P157" s="121">
        <f>ROUND(MIN(B157:M157),1)</f>
        <v>0.1</v>
      </c>
      <c r="Q157" s="94"/>
      <c r="R157" s="94"/>
      <c r="S157" s="118"/>
      <c r="T157" s="95"/>
      <c r="U157" s="96"/>
      <c r="V157" s="114"/>
    </row>
    <row r="158" spans="1:22" ht="15.75" x14ac:dyDescent="0.25">
      <c r="A158" s="80">
        <v>45812</v>
      </c>
      <c r="B158" s="97">
        <v>0.2</v>
      </c>
      <c r="C158" s="97">
        <v>0.2</v>
      </c>
      <c r="D158" s="97">
        <v>0.1</v>
      </c>
      <c r="E158" s="97">
        <v>0.1</v>
      </c>
      <c r="F158" s="97"/>
      <c r="G158" s="97"/>
      <c r="H158" s="97"/>
      <c r="I158" s="97"/>
      <c r="J158" s="97"/>
      <c r="K158" s="97"/>
      <c r="L158" s="97"/>
      <c r="M158" s="98"/>
      <c r="N158" s="91">
        <f t="shared" si="8"/>
        <v>0.2</v>
      </c>
      <c r="O158" s="120">
        <f t="shared" si="9"/>
        <v>0.2</v>
      </c>
      <c r="P158" s="121">
        <f t="shared" si="10"/>
        <v>0.1</v>
      </c>
      <c r="Q158" s="94"/>
      <c r="R158" s="94"/>
      <c r="S158" s="118"/>
      <c r="T158" s="95"/>
      <c r="U158" s="96"/>
      <c r="V158" s="114"/>
    </row>
    <row r="159" spans="1:22" ht="15.75" x14ac:dyDescent="0.25">
      <c r="A159" s="80">
        <v>45813</v>
      </c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8"/>
      <c r="N159" s="91" t="e">
        <f t="shared" si="8"/>
        <v>#DIV/0!</v>
      </c>
      <c r="O159" s="120">
        <f t="shared" si="9"/>
        <v>0</v>
      </c>
      <c r="P159" s="121">
        <f t="shared" si="10"/>
        <v>0</v>
      </c>
      <c r="Q159" s="94"/>
      <c r="R159" s="94"/>
      <c r="S159" s="118"/>
      <c r="T159" s="95"/>
      <c r="U159" s="96"/>
      <c r="V159" s="114"/>
    </row>
    <row r="160" spans="1:22" ht="15.75" x14ac:dyDescent="0.25">
      <c r="A160" s="80">
        <v>45814</v>
      </c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8"/>
      <c r="N160" s="91" t="e">
        <f t="shared" si="8"/>
        <v>#DIV/0!</v>
      </c>
      <c r="O160" s="120">
        <f t="shared" si="9"/>
        <v>0</v>
      </c>
      <c r="P160" s="121">
        <f t="shared" si="10"/>
        <v>0</v>
      </c>
      <c r="Q160" s="94"/>
      <c r="R160" s="94"/>
      <c r="S160" s="118"/>
      <c r="T160" s="95"/>
      <c r="U160" s="96"/>
      <c r="V160" s="114"/>
    </row>
    <row r="161" spans="1:22" ht="15.75" x14ac:dyDescent="0.25">
      <c r="A161" s="80">
        <v>45815</v>
      </c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8"/>
      <c r="N161" s="91" t="e">
        <f t="shared" si="8"/>
        <v>#DIV/0!</v>
      </c>
      <c r="O161" s="120">
        <f t="shared" si="9"/>
        <v>0</v>
      </c>
      <c r="P161" s="121">
        <f t="shared" si="10"/>
        <v>0</v>
      </c>
      <c r="Q161" s="94"/>
      <c r="R161" s="94"/>
      <c r="S161" s="118"/>
      <c r="T161" s="95"/>
      <c r="U161" s="96"/>
      <c r="V161" s="114"/>
    </row>
    <row r="162" spans="1:22" ht="15.75" x14ac:dyDescent="0.25">
      <c r="A162" s="80">
        <v>45816</v>
      </c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8"/>
      <c r="N162" s="91" t="e">
        <f t="shared" si="8"/>
        <v>#DIV/0!</v>
      </c>
      <c r="O162" s="120">
        <f t="shared" si="9"/>
        <v>0</v>
      </c>
      <c r="P162" s="121">
        <f t="shared" si="10"/>
        <v>0</v>
      </c>
      <c r="Q162" s="94"/>
      <c r="R162" s="94"/>
      <c r="S162" s="118"/>
      <c r="T162" s="95"/>
      <c r="U162" s="96"/>
      <c r="V162" s="114"/>
    </row>
    <row r="163" spans="1:22" ht="15.75" x14ac:dyDescent="0.25">
      <c r="A163" s="80">
        <v>45817</v>
      </c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8"/>
      <c r="N163" s="91" t="e">
        <f t="shared" si="8"/>
        <v>#DIV/0!</v>
      </c>
      <c r="O163" s="120">
        <f t="shared" si="9"/>
        <v>0</v>
      </c>
      <c r="P163" s="121">
        <f t="shared" si="10"/>
        <v>0</v>
      </c>
      <c r="Q163" s="94"/>
      <c r="R163" s="94"/>
      <c r="S163" s="118"/>
      <c r="T163" s="95"/>
      <c r="U163" s="96"/>
      <c r="V163" s="114"/>
    </row>
    <row r="164" spans="1:22" ht="15.75" x14ac:dyDescent="0.25">
      <c r="A164" s="80">
        <v>45818</v>
      </c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8"/>
      <c r="N164" s="91" t="e">
        <f t="shared" si="8"/>
        <v>#DIV/0!</v>
      </c>
      <c r="O164" s="120">
        <f t="shared" si="9"/>
        <v>0</v>
      </c>
      <c r="P164" s="121">
        <f t="shared" si="10"/>
        <v>0</v>
      </c>
      <c r="Q164" s="94"/>
      <c r="R164" s="94"/>
      <c r="S164" s="118"/>
      <c r="T164" s="95"/>
      <c r="U164" s="96"/>
      <c r="V164" s="114"/>
    </row>
    <row r="165" spans="1:22" ht="15.75" x14ac:dyDescent="0.25">
      <c r="A165" s="80">
        <v>45819</v>
      </c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8"/>
      <c r="N165" s="91" t="e">
        <f t="shared" si="8"/>
        <v>#DIV/0!</v>
      </c>
      <c r="O165" s="120">
        <f t="shared" si="9"/>
        <v>0</v>
      </c>
      <c r="P165" s="121">
        <f t="shared" si="10"/>
        <v>0</v>
      </c>
      <c r="Q165" s="94"/>
      <c r="R165" s="94"/>
      <c r="S165" s="118"/>
      <c r="T165" s="95"/>
      <c r="U165" s="96"/>
      <c r="V165" s="114"/>
    </row>
    <row r="166" spans="1:22" ht="15.75" x14ac:dyDescent="0.25">
      <c r="A166" s="80">
        <v>45820</v>
      </c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8"/>
      <c r="N166" s="91" t="e">
        <f t="shared" si="8"/>
        <v>#DIV/0!</v>
      </c>
      <c r="O166" s="120">
        <f t="shared" si="9"/>
        <v>0</v>
      </c>
      <c r="P166" s="121">
        <f t="shared" si="10"/>
        <v>0</v>
      </c>
      <c r="Q166" s="94"/>
      <c r="R166" s="94"/>
      <c r="S166" s="118"/>
      <c r="T166" s="95"/>
      <c r="U166" s="96"/>
      <c r="V166" s="114"/>
    </row>
    <row r="167" spans="1:22" ht="15.75" x14ac:dyDescent="0.25">
      <c r="A167" s="80">
        <v>45821</v>
      </c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8"/>
      <c r="N167" s="91" t="e">
        <f t="shared" si="8"/>
        <v>#DIV/0!</v>
      </c>
      <c r="O167" s="120">
        <f t="shared" si="9"/>
        <v>0</v>
      </c>
      <c r="P167" s="121">
        <f t="shared" si="10"/>
        <v>0</v>
      </c>
      <c r="Q167" s="94"/>
      <c r="R167" s="94"/>
      <c r="S167" s="118"/>
      <c r="T167" s="95"/>
      <c r="U167" s="96"/>
      <c r="V167" s="114"/>
    </row>
    <row r="168" spans="1:22" ht="15.75" x14ac:dyDescent="0.25">
      <c r="A168" s="80">
        <v>45822</v>
      </c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8"/>
      <c r="N168" s="91" t="e">
        <f t="shared" si="8"/>
        <v>#DIV/0!</v>
      </c>
      <c r="O168" s="120">
        <f t="shared" si="9"/>
        <v>0</v>
      </c>
      <c r="P168" s="121">
        <f t="shared" si="10"/>
        <v>0</v>
      </c>
      <c r="Q168" s="94"/>
      <c r="R168" s="94"/>
      <c r="S168" s="95"/>
      <c r="T168" s="95"/>
      <c r="U168" s="96"/>
      <c r="V168" s="114"/>
    </row>
    <row r="169" spans="1:22" ht="15.75" x14ac:dyDescent="0.25">
      <c r="A169" s="80">
        <v>45823</v>
      </c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8"/>
      <c r="N169" s="91" t="e">
        <f t="shared" si="8"/>
        <v>#DIV/0!</v>
      </c>
      <c r="O169" s="120">
        <f t="shared" si="9"/>
        <v>0</v>
      </c>
      <c r="P169" s="121">
        <f t="shared" si="10"/>
        <v>0</v>
      </c>
      <c r="Q169" s="94"/>
      <c r="R169" s="94"/>
      <c r="S169" s="95"/>
      <c r="T169" s="95"/>
      <c r="U169" s="96"/>
      <c r="V169" s="114"/>
    </row>
    <row r="170" spans="1:22" ht="15.75" x14ac:dyDescent="0.25">
      <c r="A170" s="80">
        <v>45824</v>
      </c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8"/>
      <c r="N170" s="91" t="e">
        <f t="shared" si="8"/>
        <v>#DIV/0!</v>
      </c>
      <c r="O170" s="120">
        <f t="shared" si="9"/>
        <v>0</v>
      </c>
      <c r="P170" s="121">
        <f t="shared" si="10"/>
        <v>0</v>
      </c>
      <c r="Q170" s="94"/>
      <c r="R170" s="94"/>
      <c r="S170" s="95"/>
      <c r="T170" s="95"/>
      <c r="U170" s="96"/>
      <c r="V170" s="114"/>
    </row>
    <row r="171" spans="1:22" ht="15.75" x14ac:dyDescent="0.25">
      <c r="A171" s="80">
        <v>45825</v>
      </c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1" t="e">
        <f t="shared" si="8"/>
        <v>#DIV/0!</v>
      </c>
      <c r="O171" s="120">
        <f t="shared" si="9"/>
        <v>0</v>
      </c>
      <c r="P171" s="121">
        <f t="shared" si="10"/>
        <v>0</v>
      </c>
      <c r="Q171" s="94"/>
      <c r="R171" s="94"/>
      <c r="S171" s="95"/>
      <c r="T171" s="95"/>
      <c r="U171" s="96"/>
      <c r="V171" s="114"/>
    </row>
    <row r="172" spans="1:22" ht="15.75" x14ac:dyDescent="0.25">
      <c r="A172" s="80">
        <v>45826</v>
      </c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1" t="e">
        <f t="shared" si="8"/>
        <v>#DIV/0!</v>
      </c>
      <c r="O172" s="120">
        <f t="shared" si="9"/>
        <v>0</v>
      </c>
      <c r="P172" s="121">
        <f t="shared" si="10"/>
        <v>0</v>
      </c>
      <c r="Q172" s="94"/>
      <c r="R172" s="94"/>
      <c r="S172" s="95"/>
      <c r="T172" s="95"/>
      <c r="U172" s="96"/>
      <c r="V172" s="114"/>
    </row>
    <row r="173" spans="1:22" ht="15.75" x14ac:dyDescent="0.25">
      <c r="A173" s="80">
        <v>45827</v>
      </c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1" t="e">
        <f t="shared" si="8"/>
        <v>#DIV/0!</v>
      </c>
      <c r="O173" s="120">
        <f t="shared" si="9"/>
        <v>0</v>
      </c>
      <c r="P173" s="121">
        <f t="shared" si="10"/>
        <v>0</v>
      </c>
      <c r="Q173" s="94"/>
      <c r="R173" s="94"/>
      <c r="S173" s="95"/>
      <c r="T173" s="95"/>
      <c r="U173" s="96"/>
      <c r="V173" s="114"/>
    </row>
    <row r="174" spans="1:22" ht="15.75" x14ac:dyDescent="0.25">
      <c r="A174" s="80">
        <v>45828</v>
      </c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1" t="e">
        <f t="shared" si="8"/>
        <v>#DIV/0!</v>
      </c>
      <c r="O174" s="120">
        <f t="shared" si="9"/>
        <v>0</v>
      </c>
      <c r="P174" s="121">
        <f t="shared" si="10"/>
        <v>0</v>
      </c>
      <c r="Q174" s="94"/>
      <c r="R174" s="94"/>
      <c r="S174" s="95"/>
      <c r="T174" s="95"/>
      <c r="U174" s="96"/>
      <c r="V174" s="114"/>
    </row>
    <row r="175" spans="1:22" ht="15.75" x14ac:dyDescent="0.25">
      <c r="A175" s="80">
        <v>45829</v>
      </c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1" t="e">
        <f t="shared" si="8"/>
        <v>#DIV/0!</v>
      </c>
      <c r="O175" s="120">
        <f t="shared" si="9"/>
        <v>0</v>
      </c>
      <c r="P175" s="121">
        <f t="shared" si="10"/>
        <v>0</v>
      </c>
      <c r="Q175" s="94"/>
      <c r="R175" s="94"/>
      <c r="S175" s="95"/>
      <c r="T175" s="95"/>
      <c r="U175" s="96"/>
      <c r="V175" s="114"/>
    </row>
    <row r="176" spans="1:22" ht="15.75" x14ac:dyDescent="0.25">
      <c r="A176" s="80">
        <v>45830</v>
      </c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1" t="e">
        <f t="shared" si="8"/>
        <v>#DIV/0!</v>
      </c>
      <c r="O176" s="120">
        <f t="shared" si="9"/>
        <v>0</v>
      </c>
      <c r="P176" s="121">
        <f t="shared" si="10"/>
        <v>0</v>
      </c>
      <c r="Q176" s="94"/>
      <c r="R176" s="94"/>
      <c r="S176" s="95"/>
      <c r="T176" s="95"/>
      <c r="U176" s="96"/>
      <c r="V176" s="114"/>
    </row>
    <row r="177" spans="1:22" ht="15.75" x14ac:dyDescent="0.25">
      <c r="A177" s="80">
        <v>45831</v>
      </c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1" t="e">
        <f t="shared" si="8"/>
        <v>#DIV/0!</v>
      </c>
      <c r="O177" s="120">
        <f t="shared" si="9"/>
        <v>0</v>
      </c>
      <c r="P177" s="121">
        <f t="shared" si="10"/>
        <v>0</v>
      </c>
      <c r="Q177" s="94"/>
      <c r="R177" s="94"/>
      <c r="S177" s="95"/>
      <c r="T177" s="95"/>
      <c r="U177" s="96"/>
      <c r="V177" s="114"/>
    </row>
    <row r="178" spans="1:22" ht="15.75" x14ac:dyDescent="0.25">
      <c r="A178" s="80">
        <v>45832</v>
      </c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1" t="e">
        <f t="shared" si="8"/>
        <v>#DIV/0!</v>
      </c>
      <c r="O178" s="120">
        <f t="shared" si="9"/>
        <v>0</v>
      </c>
      <c r="P178" s="121">
        <f t="shared" si="10"/>
        <v>0</v>
      </c>
      <c r="Q178" s="94"/>
      <c r="R178" s="94"/>
      <c r="S178" s="95"/>
      <c r="T178" s="95"/>
      <c r="U178" s="96"/>
      <c r="V178" s="114"/>
    </row>
    <row r="179" spans="1:22" ht="15.75" x14ac:dyDescent="0.25">
      <c r="A179" s="80">
        <v>45833</v>
      </c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8"/>
      <c r="N179" s="91" t="e">
        <f t="shared" si="8"/>
        <v>#DIV/0!</v>
      </c>
      <c r="O179" s="120">
        <f t="shared" si="9"/>
        <v>0</v>
      </c>
      <c r="P179" s="121">
        <f t="shared" si="10"/>
        <v>0</v>
      </c>
      <c r="Q179" s="94"/>
      <c r="R179" s="94"/>
      <c r="S179" s="95"/>
      <c r="T179" s="95"/>
      <c r="U179" s="96"/>
      <c r="V179" s="114"/>
    </row>
    <row r="180" spans="1:22" ht="15.75" x14ac:dyDescent="0.25">
      <c r="A180" s="80">
        <v>45834</v>
      </c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1" t="e">
        <f t="shared" si="8"/>
        <v>#DIV/0!</v>
      </c>
      <c r="O180" s="120">
        <f t="shared" si="9"/>
        <v>0</v>
      </c>
      <c r="P180" s="121">
        <f t="shared" si="10"/>
        <v>0</v>
      </c>
      <c r="Q180" s="94"/>
      <c r="R180" s="94"/>
      <c r="S180" s="95"/>
      <c r="T180" s="95"/>
      <c r="U180" s="96"/>
      <c r="V180" s="114"/>
    </row>
    <row r="181" spans="1:22" ht="15.75" x14ac:dyDescent="0.25">
      <c r="A181" s="80">
        <v>45835</v>
      </c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8"/>
      <c r="N181" s="91" t="e">
        <f t="shared" si="8"/>
        <v>#DIV/0!</v>
      </c>
      <c r="O181" s="120">
        <f t="shared" si="9"/>
        <v>0</v>
      </c>
      <c r="P181" s="121">
        <f t="shared" si="10"/>
        <v>0</v>
      </c>
      <c r="Q181" s="94"/>
      <c r="R181" s="94"/>
      <c r="S181" s="95"/>
      <c r="T181" s="95"/>
      <c r="U181" s="96"/>
      <c r="V181" s="114"/>
    </row>
    <row r="182" spans="1:22" ht="15.75" x14ac:dyDescent="0.25">
      <c r="A182" s="80">
        <v>45836</v>
      </c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8"/>
      <c r="N182" s="91" t="e">
        <f t="shared" si="8"/>
        <v>#DIV/0!</v>
      </c>
      <c r="O182" s="120">
        <f t="shared" si="9"/>
        <v>0</v>
      </c>
      <c r="P182" s="121">
        <f t="shared" si="10"/>
        <v>0</v>
      </c>
      <c r="Q182" s="94"/>
      <c r="R182" s="94"/>
      <c r="S182" s="95"/>
      <c r="T182" s="95"/>
      <c r="U182" s="96"/>
      <c r="V182" s="114"/>
    </row>
    <row r="183" spans="1:22" ht="15.75" x14ac:dyDescent="0.25">
      <c r="A183" s="80">
        <v>45837</v>
      </c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8"/>
      <c r="N183" s="91" t="e">
        <f t="shared" si="8"/>
        <v>#DIV/0!</v>
      </c>
      <c r="O183" s="120">
        <f t="shared" si="9"/>
        <v>0</v>
      </c>
      <c r="P183" s="121">
        <f t="shared" si="10"/>
        <v>0</v>
      </c>
      <c r="Q183" s="94"/>
      <c r="R183" s="94"/>
      <c r="S183" s="95"/>
      <c r="T183" s="95"/>
      <c r="U183" s="96"/>
      <c r="V183" s="114"/>
    </row>
    <row r="184" spans="1:22" ht="16.5" thickBot="1" x14ac:dyDescent="0.3">
      <c r="A184" s="80">
        <v>45838</v>
      </c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3"/>
      <c r="N184" s="135" t="e">
        <f t="shared" si="8"/>
        <v>#DIV/0!</v>
      </c>
      <c r="O184" s="136">
        <f t="shared" si="9"/>
        <v>0</v>
      </c>
      <c r="P184" s="137">
        <f t="shared" si="10"/>
        <v>0</v>
      </c>
      <c r="Q184" s="144"/>
      <c r="R184" s="144"/>
      <c r="S184" s="111"/>
      <c r="T184" s="112"/>
      <c r="U184" s="113"/>
      <c r="V184" s="145"/>
    </row>
    <row r="185" spans="1:22" x14ac:dyDescent="0.25">
      <c r="O185" s="147"/>
      <c r="P185" s="148"/>
    </row>
    <row r="186" spans="1:22" x14ac:dyDescent="0.25">
      <c r="O186" s="147"/>
      <c r="P186" s="148"/>
    </row>
  </sheetData>
  <mergeCells count="6">
    <mergeCell ref="A1:B2"/>
    <mergeCell ref="D1:D2"/>
    <mergeCell ref="E1:F1"/>
    <mergeCell ref="H1:J2"/>
    <mergeCell ref="L1:O1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Muc nuoc</vt:lpstr>
      <vt:lpstr>Mặn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Thinh</dc:creator>
  <cp:lastModifiedBy>Le Thinh</cp:lastModifiedBy>
  <dcterms:created xsi:type="dcterms:W3CDTF">2025-09-16T03:35:35Z</dcterms:created>
  <dcterms:modified xsi:type="dcterms:W3CDTF">2026-01-14T02:34:04Z</dcterms:modified>
</cp:coreProperties>
</file>